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1903009\Documents\"/>
    </mc:Choice>
  </mc:AlternateContent>
  <bookViews>
    <workbookView xWindow="360" yWindow="360" windowWidth="28032" windowHeight="12252" firstSheet="1" activeTab="1"/>
  </bookViews>
  <sheets>
    <sheet name="CI &amp; PL" sheetId="4" state="hidden" r:id="rId1"/>
    <sheet name="Packing Details" sheetId="3" r:id="rId2"/>
    <sheet name="MC List for Amovina" sheetId="1" r:id="rId3"/>
    <sheet name="Investment Contract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__LSS01" localSheetId="0">#REF!</definedName>
    <definedName name="______LSS01" localSheetId="3">#REF!</definedName>
    <definedName name="______LSS01">#REF!</definedName>
    <definedName name="_____LSS01" localSheetId="0">#REF!</definedName>
    <definedName name="_____LSS01">#REF!</definedName>
    <definedName name="____JKS1" localSheetId="0" hidden="1">{#N/A,#N/A,TRUE,"일정"}</definedName>
    <definedName name="____JKS1" localSheetId="3" hidden="1">{#N/A,#N/A,TRUE,"일정"}</definedName>
    <definedName name="____JKS1" hidden="1">{#N/A,#N/A,TRUE,"일정"}</definedName>
    <definedName name="____LSS01" localSheetId="0">#REF!</definedName>
    <definedName name="____LSS01" localSheetId="3">#REF!</definedName>
    <definedName name="____LSS01">#REF!</definedName>
    <definedName name="____XG2" localSheetId="0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01">'[1]#REF'!#REF!</definedName>
    <definedName name="___02">'[1]#REF'!#REF!</definedName>
    <definedName name="___03">'[1]#REF'!#REF!</definedName>
    <definedName name="___04">'[1]#REF'!#REF!</definedName>
    <definedName name="___05">'[1]#REF'!#REF!</definedName>
    <definedName name="___06">'[1]#REF'!#REF!</definedName>
    <definedName name="_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b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JKS1" localSheetId="0" hidden="1">{#N/A,#N/A,TRUE,"일정"}</definedName>
    <definedName name="___JKS1" localSheetId="3" hidden="1">{#N/A,#N/A,TRUE,"일정"}</definedName>
    <definedName name="___JKS1" hidden="1">{#N/A,#N/A,TRUE,"일정"}</definedName>
    <definedName name="___K11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LSS01" localSheetId="0">#REF!</definedName>
    <definedName name="___LSS01" localSheetId="3">#REF!</definedName>
    <definedName name="___LSS01">#REF!</definedName>
    <definedName name="___XG2" localSheetId="0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01">'[1]#REF'!#REF!</definedName>
    <definedName name="__02">'[1]#REF'!#REF!</definedName>
    <definedName name="__03">'[1]#REF'!#REF!</definedName>
    <definedName name="__04">'[1]#REF'!#REF!</definedName>
    <definedName name="__05">'[1]#REF'!#REF!</definedName>
    <definedName name="__06">'[1]#REF'!#REF!</definedName>
    <definedName name="__123Graph_D" hidden="1">[2]FAB별!#REF!</definedName>
    <definedName name="__123Graph_X" hidden="1">'[3]진행 DATA (2)'!#REF!</definedName>
    <definedName name="__A123" localSheetId="0">#REF!</definedName>
    <definedName name="__A123" localSheetId="3">#REF!</definedName>
    <definedName name="__A123">#REF!</definedName>
    <definedName name="__A334" localSheetId="0">#REF!</definedName>
    <definedName name="__A334" localSheetId="3">#REF!</definedName>
    <definedName name="__A334">#REF!</definedName>
    <definedName name="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b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hf821" localSheetId="0" hidden="1">{#N/A,#N/A,FALSE,"反応式.EC2"}</definedName>
    <definedName name="__hf821" localSheetId="3" hidden="1">{#N/A,#N/A,FALSE,"反応式.EC2"}</definedName>
    <definedName name="__hf821" hidden="1">{#N/A,#N/A,FALSE,"反応式.EC2"}</definedName>
    <definedName name="__IntlFixup" hidden="1">TRUE</definedName>
    <definedName name="__JKS1" localSheetId="0" hidden="1">{#N/A,#N/A,TRUE,"일정"}</definedName>
    <definedName name="__JKS1" localSheetId="3" hidden="1">{#N/A,#N/A,TRUE,"일정"}</definedName>
    <definedName name="__JKS1" hidden="1">{#N/A,#N/A,TRUE,"일정"}</definedName>
    <definedName name="__K11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ey2" localSheetId="0" hidden="1">#REF!</definedName>
    <definedName name="__key2" localSheetId="3" hidden="1">#REF!</definedName>
    <definedName name="__key2" hidden="1">#REF!</definedName>
    <definedName name="__KHM111" localSheetId="0" hidden="1">{#N/A,#N/A,FALSE,"제목"}</definedName>
    <definedName name="__KHM111" localSheetId="3" hidden="1">{#N/A,#N/A,FALSE,"제목"}</definedName>
    <definedName name="__KHM111" hidden="1">{#N/A,#N/A,FALSE,"제목"}</definedName>
    <definedName name="__KHM888" localSheetId="0" hidden="1">{#N/A,#N/A,FALSE,"제목"}</definedName>
    <definedName name="__KHM888" localSheetId="3" hidden="1">{#N/A,#N/A,FALSE,"제목"}</definedName>
    <definedName name="__KHM888" hidden="1">{#N/A,#N/A,FALSE,"제목"}</definedName>
    <definedName name="__LSS01" localSheetId="0">#REF!</definedName>
    <definedName name="__LSS01" localSheetId="3">#REF!</definedName>
    <definedName name="__LSS01">#REF!</definedName>
    <definedName name="__PAR811" localSheetId="0" hidden="1">{#N/A,#N/A,FALSE,"反応式.EC2"}</definedName>
    <definedName name="__PAR811" localSheetId="3" hidden="1">{#N/A,#N/A,FALSE,"反応式.EC2"}</definedName>
    <definedName name="__PAR811" hidden="1">{#N/A,#N/A,FALSE,"反応式.EC2"}</definedName>
    <definedName name="__XG2" localSheetId="0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01">'[1]#REF'!#REF!</definedName>
    <definedName name="_02">'[1]#REF'!#REF!</definedName>
    <definedName name="_03">'[1]#REF'!#REF!</definedName>
    <definedName name="_04">'[1]#REF'!#REF!</definedName>
    <definedName name="_05">'[1]#REF'!#REF!</definedName>
    <definedName name="_06">'[1]#REF'!#REF!</definedName>
    <definedName name="_1_0__123Grap" hidden="1">'[4]진행 DATA (2)'!#REF!</definedName>
    <definedName name="_10__123Graph_A차트_8" hidden="1">[5]A!$D$185:$D$186</definedName>
    <definedName name="_10AS6_" localSheetId="0" hidden="1">{#N/A,#N/A,FALSE,"Australien";#N/A,#N/A,FALSE,"Birmingham";#N/A,#N/A,FALSE,"Brasilien";#N/A,#N/A,FALSE,"Prag";#N/A,#N/A,FALSE,"Spanien";#N/A,#N/A,FALSE,"Malaysia ( Com)";#N/A,#N/A,FALSE,"Malaysia (Instr)"}</definedName>
    <definedName name="_10AS6_" localSheetId="3" hidden="1">{#N/A,#N/A,FALSE,"Australien";#N/A,#N/A,FALSE,"Birmingham";#N/A,#N/A,FALSE,"Brasilien";#N/A,#N/A,FALSE,"Prag";#N/A,#N/A,FALSE,"Spanien";#N/A,#N/A,FALSE,"Malaysia ( Com)";#N/A,#N/A,FALSE,"Malaysia (Instr)"}</definedName>
    <definedName name="_10AS6_" hidden="1">{#N/A,#N/A,FALSE,"Australien";#N/A,#N/A,FALSE,"Birmingham";#N/A,#N/A,FALSE,"Brasilien";#N/A,#N/A,FALSE,"Prag";#N/A,#N/A,FALSE,"Spanien";#N/A,#N/A,FALSE,"Malaysia ( Com)";#N/A,#N/A,FALSE,"Malaysia (Instr)"}</definedName>
    <definedName name="_11__123Graph_B차트_1" hidden="1">[5]A!$C$79:$C$84</definedName>
    <definedName name="_11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AT1_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2__123Graph_B차트_2" hidden="1">[5]A!$E$79:$E$84</definedName>
    <definedName name="_12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2AT2_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__123Graph_B차트_3" hidden="1">[5]A!$C$113:$C$119</definedName>
    <definedName name="_13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AT3_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4__123Graph_B차트_4" hidden="1">[5]A!$E$113:$E$119</definedName>
    <definedName name="_14b1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4b1_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5__123Graph_B차트_5" hidden="1">[5]A!$C$148:$C$156</definedName>
    <definedName name="_15K115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5K115_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5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6__123Graph_B차트_6" hidden="1">[5]A!$E$148:$E$156</definedName>
    <definedName name="_16__0_S" localSheetId="0" hidden="1">#REF!</definedName>
    <definedName name="_16__0_S" localSheetId="3" hidden="1">#REF!</definedName>
    <definedName name="_16__0_S" hidden="1">#REF!</definedName>
    <definedName name="_17__123Graph_B차트_7" hidden="1">[5]A!$C$185:$C$186</definedName>
    <definedName name="_18__123Graph_B차트_8" hidden="1">[5]A!$E$185:$E$186</definedName>
    <definedName name="_19__123Graph_X차트_1" hidden="1">[5]A!$A$79:$A$84</definedName>
    <definedName name="_2___0__123Grap" localSheetId="0" hidden="1">'[4]진행 DATA (2)'!#REF!</definedName>
    <definedName name="_2___0__123Grap" localSheetId="3" hidden="1">'[4]진행 DATA (2)'!#REF!</definedName>
    <definedName name="_2___0__123Grap" hidden="1">'[4]진행 DATA (2)'!#REF!</definedName>
    <definedName name="_20__123Graph_X차트_2" hidden="1">[5]A!$A$79:$A$84</definedName>
    <definedName name="_21__123Graph_X차트_3" hidden="1">[5]A!$A$113:$A$119</definedName>
    <definedName name="_22__123Graph_X차트_4" hidden="1">[5]A!$A$113:$A$119</definedName>
    <definedName name="_23__123Graph_X차트_5" hidden="1">[5]A!$A$148:$A$156</definedName>
    <definedName name="_24__123Graph_X차트_6" hidden="1">[5]A!$A$148:$A$156</definedName>
    <definedName name="_25__123Graph_X차트_7" hidden="1">[5]A!$A$185:$A$186</definedName>
    <definedName name="_26__123Graph_X차트_8" hidden="1">[5]A!$A$185:$A$186</definedName>
    <definedName name="_3__123Graph_A차트_1" hidden="1">[5]A!$B$79:$B$84</definedName>
    <definedName name="_3__0_S" localSheetId="0" hidden="1">#REF!</definedName>
    <definedName name="_3__0_S" localSheetId="3" hidden="1">#REF!</definedName>
    <definedName name="_3__0_S" hidden="1">#REF!</definedName>
    <definedName name="_4__123Graph_A차트_2" hidden="1">[5]A!$D$79:$D$84</definedName>
    <definedName name="_4_01" localSheetId="0">'[1]#REF'!#REF!</definedName>
    <definedName name="_4_01" localSheetId="3">'[1]#REF'!#REF!</definedName>
    <definedName name="_4_01">'[1]#REF'!#REF!</definedName>
    <definedName name="_5__123Graph_A차트_3" hidden="1">[5]A!$B$113:$B$119</definedName>
    <definedName name="_5_02" localSheetId="0">'[1]#REF'!#REF!</definedName>
    <definedName name="_5_02" localSheetId="3">'[1]#REF'!#REF!</definedName>
    <definedName name="_5_02">'[1]#REF'!#REF!</definedName>
    <definedName name="_6__123Graph_A차트_4" hidden="1">[5]A!$D$113:$D$119</definedName>
    <definedName name="_6_03" localSheetId="0">'[1]#REF'!#REF!</definedName>
    <definedName name="_6_03" localSheetId="3">'[1]#REF'!#REF!</definedName>
    <definedName name="_6_03">'[1]#REF'!#REF!</definedName>
    <definedName name="_7__123Graph_A차트_5" hidden="1">[5]A!$B$148:$B$156</definedName>
    <definedName name="_7_04" localSheetId="0">'[1]#REF'!#REF!</definedName>
    <definedName name="_7_04" localSheetId="3">'[1]#REF'!#REF!</definedName>
    <definedName name="_7_04">'[1]#REF'!#REF!</definedName>
    <definedName name="_8__123Graph_A차트_6" hidden="1">[5]A!$D$148:$D$156</definedName>
    <definedName name="_8_05" localSheetId="0">'[1]#REF'!#REF!</definedName>
    <definedName name="_8_05" localSheetId="3">'[1]#REF'!#REF!</definedName>
    <definedName name="_8_05">'[1]#REF'!#REF!</definedName>
    <definedName name="_9__123Graph_A차트_7" hidden="1">[5]A!$B$185:$B$186</definedName>
    <definedName name="_9_06" localSheetId="0">'[1]#REF'!#REF!</definedName>
    <definedName name="_9_06" localSheetId="3">'[1]#REF'!#REF!</definedName>
    <definedName name="_9_06">'[1]#REF'!#REF!</definedName>
    <definedName name="_A123" localSheetId="0">#REF!</definedName>
    <definedName name="_A123" localSheetId="3">#REF!</definedName>
    <definedName name="_A123">#REF!</definedName>
    <definedName name="_A334" localSheetId="0">#REF!</definedName>
    <definedName name="_A334" localSheetId="3">#REF!</definedName>
    <definedName name="_A334">#REF!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localSheetId="3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b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" localSheetId="0">#REF!</definedName>
    <definedName name="_C" localSheetId="3">#REF!</definedName>
    <definedName name="_C">#REF!</definedName>
    <definedName name="_DAT1" localSheetId="0">#REF!</definedName>
    <definedName name="_DAT1" localSheetId="3">#REF!</definedName>
    <definedName name="_DAT1">#REF!</definedName>
    <definedName name="_DAT10" localSheetId="0">#REF!</definedName>
    <definedName name="_DAT10" localSheetId="3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ill" localSheetId="0" hidden="1">#REF!</definedName>
    <definedName name="_Fill" hidden="1">#REF!</definedName>
    <definedName name="_xlnm._FilterDatabase" hidden="1">#REF!</definedName>
    <definedName name="_IV66000" localSheetId="0">#REF!</definedName>
    <definedName name="_IV66000">#REF!</definedName>
    <definedName name="_IV67000" localSheetId="0">#REF!</definedName>
    <definedName name="_IV67000">#REF!</definedName>
    <definedName name="_IV68000" localSheetId="0">#REF!</definedName>
    <definedName name="_IV68000">#REF!</definedName>
    <definedName name="_IV71000" localSheetId="0">#REF!</definedName>
    <definedName name="_IV71000">#REF!</definedName>
    <definedName name="_IZ60000" localSheetId="0">#REF!</definedName>
    <definedName name="_IZ60000">#REF!</definedName>
    <definedName name="_JKS1" localSheetId="0" hidden="1">{#N/A,#N/A,TRUE,"일정"}</definedName>
    <definedName name="_JKS1" localSheetId="3" hidden="1">{#N/A,#N/A,TRUE,"일정"}</definedName>
    <definedName name="_JKS1" hidden="1">{#N/A,#N/A,TRUE,"일정"}</definedName>
    <definedName name="_JZ60000" localSheetId="0">#REF!</definedName>
    <definedName name="_JZ60000" localSheetId="3">#REF!</definedName>
    <definedName name="_JZ60000">#REF!</definedName>
    <definedName name="_K11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ey1" hidden="1">[6]WEIGHT!#REF!</definedName>
    <definedName name="_Key2" hidden="1">[6]WEIGHT!#REF!</definedName>
    <definedName name="_LSS01" localSheetId="0">#REF!</definedName>
    <definedName name="_LSS01" localSheetId="3">#REF!</definedName>
    <definedName name="_LSS01">#REF!</definedName>
    <definedName name="_MatMult_AxB" localSheetId="3" hidden="1">#REF!</definedName>
    <definedName name="_MatMult_AxB" hidden="1">#REF!</definedName>
    <definedName name="_MatMult_B" localSheetId="3" hidden="1">#REF!</definedName>
    <definedName name="_MatMult_B" hidden="1">#REF!</definedName>
    <definedName name="_Order1" hidden="1">255</definedName>
    <definedName name="_Order2" hidden="1">255</definedName>
    <definedName name="_P4" localSheetId="0" hidden="1">#REF!</definedName>
    <definedName name="_P4" localSheetId="3" hidden="1">#REF!</definedName>
    <definedName name="_P4" hidden="1">#REF!</definedName>
    <definedName name="_Regression_Int" hidden="1">1</definedName>
    <definedName name="_Regression_Out" localSheetId="0" hidden="1">#REF!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ort" hidden="1">#REF!</definedName>
    <definedName name="_SORT1" hidden="1">#REF!</definedName>
    <definedName name="_SZ60000" localSheetId="0">#REF!</definedName>
    <definedName name="_SZ60000">#REF!</definedName>
    <definedName name="_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XG2" localSheetId="0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ZB123" localSheetId="0">#REF!</definedName>
    <definedName name="_ZB123" localSheetId="3">#REF!</definedName>
    <definedName name="_ZB123">#REF!</definedName>
    <definedName name="_ZZ10000" localSheetId="0">#REF!</definedName>
    <definedName name="_ZZ10000" localSheetId="3">#REF!</definedName>
    <definedName name="_ZZ10000">#REF!</definedName>
    <definedName name="¤A¤A" localSheetId="0">#REF!</definedName>
    <definedName name="¤A¤A" localSheetId="3">#REF!</definedName>
    <definedName name="¤A¤A">#REF!</definedName>
    <definedName name="¤μ¤μ">#REF!</definedName>
    <definedName name="\\\\\\\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a" localSheetId="0">#REF!</definedName>
    <definedName name="\a" localSheetId="3">#REF!</definedName>
    <definedName name="\a">#REF!</definedName>
    <definedName name="\b" localSheetId="0">#REF!</definedName>
    <definedName name="\b" localSheetId="3">#REF!</definedName>
    <definedName name="\b">#REF!</definedName>
    <definedName name="\c" localSheetId="0">#REF!</definedName>
    <definedName name="\c" localSheetId="3">#REF!</definedName>
    <definedName name="\c">#REF!</definedName>
    <definedName name="\d" localSheetId="0">#REF!</definedName>
    <definedName name="\d">#REF!</definedName>
    <definedName name="\o">[7]굂굍!#REF!</definedName>
    <definedName name="\p">#N/A</definedName>
    <definedName name="\s">[7]굊굍!#REF!</definedName>
    <definedName name="\t">#N/A</definedName>
    <definedName name="\x">[7]굂굍!#REF!</definedName>
    <definedName name="\z">[7]굂굍!#REF!</definedName>
    <definedName name="±a¾E°ⓒ" localSheetId="0">#REF!</definedName>
    <definedName name="±a¾E°ⓒ" localSheetId="3">#REF!</definedName>
    <definedName name="±a¾E°ⓒ">#REF!</definedName>
    <definedName name="±a¾EA≫" localSheetId="3">#REF!</definedName>
    <definedName name="±a¾EA≫">#REF!</definedName>
    <definedName name="※_추후_NAVA__PROJECT는__부품_">[8]기안!$A$43</definedName>
    <definedName name="a" localSheetId="0">#REF!</definedName>
    <definedName name="a" localSheetId="3">#REF!</definedName>
    <definedName name="a">#REF!</definedName>
    <definedName name="A556a1" localSheetId="0">#REF!</definedName>
    <definedName name="A556a1" localSheetId="3">#REF!</definedName>
    <definedName name="A556a1">#REF!</definedName>
    <definedName name="aa">#N/A</definedName>
    <definedName name="AAA" localSheetId="0" hidden="1">{"'アサイメント'!$B$1:$L$16","'アサイメント'!$B$18:$L$30"}</definedName>
    <definedName name="AAA" localSheetId="3" hidden="1">{"'アサイメント'!$B$1:$L$16","'アサイメント'!$B$18:$L$30"}</definedName>
    <definedName name="AAA" hidden="1">{"'アサイメント'!$B$1:$L$16","'アサイメント'!$B$18:$L$30"}</definedName>
    <definedName name="AAAA">#N/A</definedName>
    <definedName name="AAAAA">#N/A</definedName>
    <definedName name="AAAAAA">#N/A</definedName>
    <definedName name="AB" localSheetId="0">#REF!</definedName>
    <definedName name="AB" localSheetId="3">#REF!</definedName>
    <definedName name="AB">#REF!</definedName>
    <definedName name="ABC" localSheetId="0">#REF!</definedName>
    <definedName name="ABC" localSheetId="3">#REF!</definedName>
    <definedName name="ABC">#REF!</definedName>
    <definedName name="abcd" localSheetId="3">#REF!</definedName>
    <definedName name="abcd">#REF!</definedName>
    <definedName name="AC">#REF!</definedName>
    <definedName name="Access_Button" hidden="1">"tpds0409_RAW_DATA_0318_List"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"C:\WORK BASE\tpds0409.mdb"</definedName>
    <definedName name="ACON" localSheetId="0" hidden="1">{#N/A,#N/A,TRUE,"일정"}</definedName>
    <definedName name="ACON" localSheetId="3" hidden="1">{#N/A,#N/A,TRUE,"일정"}</definedName>
    <definedName name="ACON" hidden="1">{#N/A,#N/A,TRUE,"일정"}</definedName>
    <definedName name="AD" localSheetId="0">#REF!</definedName>
    <definedName name="AD" localSheetId="3">#REF!</definedName>
    <definedName name="AD">#REF!</definedName>
    <definedName name="AF" localSheetId="3">#REF!</definedName>
    <definedName name="AF">#REF!</definedName>
    <definedName name="AG" localSheetId="3">#REF!</definedName>
    <definedName name="AG">#REF!</definedName>
    <definedName name="AH">#REF!</definedName>
    <definedName name="AI">#REF!</definedName>
    <definedName name="AJ">#REF!</definedName>
    <definedName name="AK">#REF!</definedName>
    <definedName name="AL">#REF!</definedName>
    <definedName name="am">#REF!</definedName>
    <definedName name="an">#REF!</definedName>
    <definedName name="AO">#REF!</definedName>
    <definedName name="AP">#REF!</definedName>
    <definedName name="App.OPT">#REF!</definedName>
    <definedName name="AppOPT">#REF!</definedName>
    <definedName name="AQ">#REF!</definedName>
    <definedName name="AR">#REF!</definedName>
    <definedName name="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">#N/A</definedName>
    <definedName name="ASDF">#N/A</definedName>
    <definedName name="ASDS">#N/A</definedName>
    <definedName name="asfds" localSheetId="0" hidden="1">{"'アサイメント'!$B$1:$L$16","'アサイメント'!$B$18:$L$30"}</definedName>
    <definedName name="asfds" localSheetId="3" hidden="1">{"'アサイメント'!$B$1:$L$16","'アサイメント'!$B$18:$L$30"}</definedName>
    <definedName name="asfds" hidden="1">{"'アサイメント'!$B$1:$L$16","'アサイメント'!$B$18:$L$30"}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" localSheetId="0">#REF!</definedName>
    <definedName name="AU" localSheetId="3">#REF!</definedName>
    <definedName name="AU">#REF!</definedName>
    <definedName name="AuxPower" localSheetId="3">#REF!</definedName>
    <definedName name="AuxPower">#REF!</definedName>
    <definedName name="AV" localSheetId="3">#REF!</definedName>
    <definedName name="AV">#REF!</definedName>
    <definedName name="awc">#REF!</definedName>
    <definedName name="B">#REF!</definedName>
    <definedName name="BA">#REF!</definedName>
    <definedName name="bb">#N/A</definedName>
    <definedName name="bc" localSheetId="0">#REF!</definedName>
    <definedName name="bc" localSheetId="3">#REF!</definedName>
    <definedName name="bc">#REF!</definedName>
    <definedName name="BD" localSheetId="3">#REF!</definedName>
    <definedName name="BD">#REF!</definedName>
    <definedName name="BE" localSheetId="3">#REF!</definedName>
    <definedName name="BE">#REF!</definedName>
    <definedName name="bf">#REF!</definedName>
    <definedName name="bfsgsd" hidden="1">'[4]진행 DATA (2)'!#REF!</definedName>
    <definedName name="BG" localSheetId="0">#REF!</definedName>
    <definedName name="BG" localSheetId="3">#REF!</definedName>
    <definedName name="BG">#REF!</definedName>
    <definedName name="bgrthbd" localSheetId="0" hidden="1">{#VALUE!,#N/A,FALSE,0;#N/A,#N/A,FALSE,0;#N/A,#N/A,FALSE,0;#N/A,#N/A,FALSE,0;#N/A,#N/A,FALSE,0;#N/A,#N/A,FALSE,0;#N/A,#N/A,FALSE,0;#N/A,#N/A,FALSE,0;#N/A,#N/A,FALSE,0;#N/A,#N/A,FALSE,0;#N/A,#N/A,FALSE,0}</definedName>
    <definedName name="bgrthbd" localSheetId="3" hidden="1">{#VALUE!,#N/A,FALSE,0;#N/A,#N/A,FALSE,0;#N/A,#N/A,FALSE,0;#N/A,#N/A,FALSE,0;#N/A,#N/A,FALSE,0;#N/A,#N/A,FALSE,0;#N/A,#N/A,FALSE,0;#N/A,#N/A,FALSE,0;#N/A,#N/A,FALSE,0;#N/A,#N/A,FALSE,0;#N/A,#N/A,FALSE,0}</definedName>
    <definedName name="bgrthbd" hidden="1">{#VALUE!,#N/A,FALSE,0;#N/A,#N/A,FALSE,0;#N/A,#N/A,FALSE,0;#N/A,#N/A,FALSE,0;#N/A,#N/A,FALSE,0;#N/A,#N/A,FALSE,0;#N/A,#N/A,FALSE,0;#N/A,#N/A,FALSE,0;#N/A,#N/A,FALSE,0;#N/A,#N/A,FALSE,0;#N/A,#N/A,FALSE,0}</definedName>
    <definedName name="BH" localSheetId="0">#REF!</definedName>
    <definedName name="BH" localSheetId="3">#REF!</definedName>
    <definedName name="BH">#REF!</definedName>
    <definedName name="BI" localSheetId="3">#REF!</definedName>
    <definedName name="BI">#REF!</definedName>
    <definedName name="BJ" localSheetId="3">#REF!</definedName>
    <definedName name="BJ">#REF!</definedName>
    <definedName name="BK">#REF!</definedName>
    <definedName name="bkj">'[1]#REF'!#REF!</definedName>
    <definedName name="BL" localSheetId="0">#REF!</definedName>
    <definedName name="BL" localSheetId="3">#REF!</definedName>
    <definedName name="BL">#REF!</definedName>
    <definedName name="BM" localSheetId="3">#REF!</definedName>
    <definedName name="BM">#REF!</definedName>
    <definedName name="BN" localSheetId="3">#REF!</definedName>
    <definedName name="BN">#REF!</definedName>
    <definedName name="BRKT_ASST">#REF!</definedName>
    <definedName name="CA">#REF!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localSheetId="0" hidden="1">{#N/A,#N/A,FALSE,"P.C.B"}</definedName>
    <definedName name="CAPA9798" localSheetId="3" hidden="1">{#N/A,#N/A,FALSE,"P.C.B"}</definedName>
    <definedName name="CAPA9798" hidden="1">{#N/A,#N/A,FALSE,"P.C.B"}</definedName>
    <definedName name="CB" localSheetId="0">#REF!</definedName>
    <definedName name="CB" localSheetId="3">#REF!</definedName>
    <definedName name="CB">#REF!</definedName>
    <definedName name="CD" localSheetId="3">#REF!</definedName>
    <definedName name="CD">#REF!</definedName>
    <definedName name="CF" localSheetId="3">#REF!</definedName>
    <definedName name="CF">#REF!</definedName>
    <definedName name="CG">#REF!</definedName>
    <definedName name="CH">#REF!</definedName>
    <definedName name="CHANG" localSheetId="0" hidden="1">{#N/A,#N/A,FALSE,"P.C.B"}</definedName>
    <definedName name="CHANG" localSheetId="3" hidden="1">{#N/A,#N/A,FALSE,"P.C.B"}</definedName>
    <definedName name="CHANG" hidden="1">{#N/A,#N/A,FALSE,"P.C.B"}</definedName>
    <definedName name="CI" localSheetId="0">#REF!</definedName>
    <definedName name="CI" localSheetId="3">#REF!</definedName>
    <definedName name="CI">#REF!</definedName>
    <definedName name="CJ" localSheetId="3">#REF!</definedName>
    <definedName name="CJ">#REF!</definedName>
    <definedName name="CK" localSheetId="3">#REF!</definedName>
    <definedName name="CK">#REF!</definedName>
    <definedName name="CL">#REF!</definedName>
    <definedName name="CM">#REF!</definedName>
    <definedName name="CN">#REF!</definedName>
    <definedName name="CompAir">#REF!</definedName>
    <definedName name="ConPower">#REF!</definedName>
    <definedName name="COSTT" hidden="1">#REF!</definedName>
    <definedName name="COVERING" localSheetId="0">[9]list!#REF!</definedName>
    <definedName name="COVERING" localSheetId="3">[9]list!#REF!</definedName>
    <definedName name="COVERING">[9]list!#REF!</definedName>
    <definedName name="cr" localSheetId="0" hidden="1">{#N/A,#N/A,FALSE,"제목"}</definedName>
    <definedName name="cr" localSheetId="3" hidden="1">{#N/A,#N/A,FALSE,"제목"}</definedName>
    <definedName name="cr" hidden="1">{#N/A,#N/A,FALSE,"제목"}</definedName>
    <definedName name="_xlnm.Criteria" localSheetId="0">[9]list!#REF!</definedName>
    <definedName name="_xlnm.Criteria" localSheetId="3">[9]list!#REF!</definedName>
    <definedName name="_xlnm.Criteria">[9]list!#REF!</definedName>
    <definedName name="Criteria_MI">[7]굂굍!#REF!</definedName>
    <definedName name="CVD" localSheetId="0" hidden="1">{"'アサイメント'!$B$1:$L$16","'アサイメント'!$B$18:$L$30"}</definedName>
    <definedName name="CVD" localSheetId="3" hidden="1">{"'アサイメント'!$B$1:$L$16","'アサイメント'!$B$18:$L$30"}</definedName>
    <definedName name="CVD" hidden="1">{"'アサイメント'!$B$1:$L$16","'アサイメント'!$B$18:$L$30"}</definedName>
    <definedName name="CWAmount" localSheetId="0">#REF!</definedName>
    <definedName name="CWAmount" localSheetId="3">#REF!</definedName>
    <definedName name="CWAmount">#REF!</definedName>
    <definedName name="CWSystem" localSheetId="3">#REF!</definedName>
    <definedName name="CWSystem">#REF!</definedName>
    <definedName name="CWType" localSheetId="3">#REF!</definedName>
    <definedName name="CWType">#REF!</definedName>
    <definedName name="CylNum">#REF!</definedName>
    <definedName name="d">#REF!</definedName>
    <definedName name="DA">#REF!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B">#REF!</definedName>
    <definedName name="DBFTOXLS">[10]!DBFTOXLS</definedName>
    <definedName name="DC" localSheetId="0">#REF!</definedName>
    <definedName name="DC" localSheetId="3">#REF!</definedName>
    <definedName name="DC">#REF!</definedName>
    <definedName name="DD" localSheetId="3">#REF!</definedName>
    <definedName name="DD">#REF!</definedName>
    <definedName name="dDFA" localSheetId="0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" localSheetId="0">#REF!</definedName>
    <definedName name="DE" localSheetId="3">#REF!</definedName>
    <definedName name="DE">#REF!</definedName>
    <definedName name="Density" localSheetId="3">#REF!</definedName>
    <definedName name="Density">#REF!</definedName>
    <definedName name="df" localSheetId="0">#REF!</definedName>
    <definedName name="df" localSheetId="3">#REF!</definedName>
    <definedName name="df">#REF!</definedName>
    <definedName name="DFA" localSheetId="0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d">#N/A</definedName>
    <definedName name="dfdsfd">'[1]#REF'!#REF!</definedName>
    <definedName name="DFHJ" localSheetId="0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" localSheetId="0">#REF!</definedName>
    <definedName name="DG" localSheetId="3">#REF!</definedName>
    <definedName name="DG">#REF!</definedName>
    <definedName name="DGDGFDG" localSheetId="0" hidden="1">{"'アサイメント'!$B$1:$L$16","'アサイメント'!$B$18:$L$30"}</definedName>
    <definedName name="DGDGFDG" localSheetId="3" hidden="1">{"'アサイメント'!$B$1:$L$16","'アサイメント'!$B$18:$L$30"}</definedName>
    <definedName name="DGDGFDG" hidden="1">{"'アサイメント'!$B$1:$L$16","'アサイメント'!$B$18:$L$30"}</definedName>
    <definedName name="DGF" localSheetId="0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0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" localSheetId="0">#REF!</definedName>
    <definedName name="DH" localSheetId="3">#REF!</definedName>
    <definedName name="DH">#REF!</definedName>
    <definedName name="DHK" localSheetId="0" hidden="1">{#N/A,#N/A,FALSE,"단축1";#N/A,#N/A,FALSE,"단축2";#N/A,#N/A,FALSE,"단축3";#N/A,#N/A,FALSE,"장축";#N/A,#N/A,FALSE,"4WD"}</definedName>
    <definedName name="DHK" localSheetId="3" hidden="1">{#N/A,#N/A,FALSE,"단축1";#N/A,#N/A,FALSE,"단축2";#N/A,#N/A,FALSE,"단축3";#N/A,#N/A,FALSE,"장축";#N/A,#N/A,FALSE,"4WD"}</definedName>
    <definedName name="DHK" hidden="1">{#N/A,#N/A,FALSE,"단축1";#N/A,#N/A,FALSE,"단축2";#N/A,#N/A,FALSE,"단축3";#N/A,#N/A,FALSE,"장축";#N/A,#N/A,FALSE,"4WD"}</definedName>
    <definedName name="DI" localSheetId="0">#REF!</definedName>
    <definedName name="DI" localSheetId="3">#REF!</definedName>
    <definedName name="DI">#REF!</definedName>
    <definedName name="DJ" localSheetId="3">#REF!</definedName>
    <definedName name="DJ">#REF!</definedName>
    <definedName name="DJFHJ" localSheetId="0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 localSheetId="0">#REF!</definedName>
    <definedName name="DK" localSheetId="3">#REF!</definedName>
    <definedName name="DK">#REF!</definedName>
    <definedName name="dkdk" localSheetId="0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DKFG8TBTB2RT" localSheetId="0">#REF!</definedName>
    <definedName name="DKDKFG8TBTB2RT" localSheetId="3">#REF!</definedName>
    <definedName name="DKDKFG8TBTB2RT">#REF!</definedName>
    <definedName name="DL" localSheetId="3">#REF!</definedName>
    <definedName name="DL">#REF!</definedName>
    <definedName name="dm" localSheetId="3">#REF!</definedName>
    <definedName name="dm">#REF!</definedName>
    <definedName name="drtretw" hidden="1">#REF!</definedName>
    <definedName name="DSW" localSheetId="0" hidden="1">{"'アサイメント'!$B$1:$L$16","'アサイメント'!$B$18:$L$30"}</definedName>
    <definedName name="DSW" localSheetId="3" hidden="1">{"'アサイメント'!$B$1:$L$16","'アサイメント'!$B$18:$L$30"}</definedName>
    <definedName name="DSW" hidden="1">{"'アサイメント'!$B$1:$L$16","'アサイメント'!$B$18:$L$30"}</definedName>
    <definedName name="dsZcfvbgfs" localSheetId="0" hidden="1">{#VALUE!,#N/A,FALSE,0;#N/A,#N/A,FALSE,0;#N/A,#N/A,FALSE,0;#N/A,#N/A,FALSE,0;#N/A,#N/A,FALSE,0;#N/A,#N/A,FALSE,0;#N/A,#N/A,FALSE,0;#N/A,#N/A,FALSE,0;#N/A,#N/A,FALSE,0;#N/A,#N/A,FALSE,0;#N/A,#N/A,FALSE,0}</definedName>
    <definedName name="dsZcfvbgfs" localSheetId="3" hidden="1">{#VALUE!,#N/A,FALSE,0;#N/A,#N/A,FALSE,0;#N/A,#N/A,FALSE,0;#N/A,#N/A,FALSE,0;#N/A,#N/A,FALSE,0;#N/A,#N/A,FALSE,0;#N/A,#N/A,FALSE,0;#N/A,#N/A,FALSE,0;#N/A,#N/A,FALSE,0;#N/A,#N/A,FALSE,0;#N/A,#N/A,FALSE,0}</definedName>
    <definedName name="dsZcfvbgfs" hidden="1">{#VALUE!,#N/A,FALSE,0;#N/A,#N/A,FALSE,0;#N/A,#N/A,FALSE,0;#N/A,#N/A,FALSE,0;#N/A,#N/A,FALSE,0;#N/A,#N/A,FALSE,0;#N/A,#N/A,FALSE,0;#N/A,#N/A,FALSE,0;#N/A,#N/A,FALSE,0;#N/A,#N/A,FALSE,0;#N/A,#N/A,FALSE,0}</definedName>
    <definedName name="dyhn" localSheetId="0" hidden="1">{#VALUE!,#N/A,FALSE,0;#N/A,#N/A,FALSE,0;#N/A,#N/A,FALSE,0;#N/A,#N/A,FALSE,0;#N/A,#N/A,FALSE,0;#N/A,#N/A,FALSE,0;#N/A,#N/A,FALSE,0;#N/A,#N/A,FALSE,0;#N/A,#N/A,FALSE,0;#N/A,#N/A,FALSE,0;#N/A,#N/A,FALSE,0}</definedName>
    <definedName name="dyhn" localSheetId="3" hidden="1">{#VALUE!,#N/A,FALSE,0;#N/A,#N/A,FALSE,0;#N/A,#N/A,FALSE,0;#N/A,#N/A,FALSE,0;#N/A,#N/A,FALSE,0;#N/A,#N/A,FALSE,0;#N/A,#N/A,FALSE,0;#N/A,#N/A,FALSE,0;#N/A,#N/A,FALSE,0;#N/A,#N/A,FALSE,0;#N/A,#N/A,FALSE,0}</definedName>
    <definedName name="dyhn" hidden="1">{#VALUE!,#N/A,FALSE,0;#N/A,#N/A,FALSE,0;#N/A,#N/A,FALSE,0;#N/A,#N/A,FALSE,0;#N/A,#N/A,FALSE,0;#N/A,#N/A,FALSE,0;#N/A,#N/A,FALSE,0;#N/A,#N/A,FALSE,0;#N/A,#N/A,FALSE,0;#N/A,#N/A,FALSE,0;#N/A,#N/A,FALSE,0}</definedName>
    <definedName name="E" localSheetId="0">#REF!</definedName>
    <definedName name="E" localSheetId="3">#REF!</definedName>
    <definedName name="E">#REF!</definedName>
    <definedName name="EAWR" localSheetId="0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E" localSheetId="0">#REF!</definedName>
    <definedName name="EE" localSheetId="3">#REF!</definedName>
    <definedName name="EE">#REF!</definedName>
    <definedName name="EFFOG" localSheetId="0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HGB比較" localSheetId="0" hidden="1">{#N/A,#N/A,FALSE,"反応式.EC2"}</definedName>
    <definedName name="EHGB比較" localSheetId="3" hidden="1">{#N/A,#N/A,FALSE,"反応式.EC2"}</definedName>
    <definedName name="EHGB比較" hidden="1">{#N/A,#N/A,FALSE,"反応式.EC2"}</definedName>
    <definedName name="endFab3" localSheetId="0">#REF!</definedName>
    <definedName name="endFab3" localSheetId="3">#REF!</definedName>
    <definedName name="endFab3">#REF!</definedName>
    <definedName name="endFab4" localSheetId="3">#REF!</definedName>
    <definedName name="endFab4">#REF!</definedName>
    <definedName name="ENGPwr50" localSheetId="3">#REF!</definedName>
    <definedName name="ENGPwr50">#REF!</definedName>
    <definedName name="ENGPwr60">#REF!</definedName>
    <definedName name="ENGType">#REF!</definedName>
    <definedName name="EO계획" hidden="1">#REF!</definedName>
    <definedName name="ER" localSheetId="0">#REF!</definedName>
    <definedName name="ER">#REF!</definedName>
    <definedName name="ETRYU" localSheetId="0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0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localSheetId="0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" localSheetId="0">#REF!</definedName>
    <definedName name="EX" localSheetId="3">#REF!</definedName>
    <definedName name="EX">#REF!</definedName>
    <definedName name="EYRU" localSheetId="0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0" hidden="1">{#N/A,#N/A,FALSE,"단축1";#N/A,#N/A,FALSE,"단축2";#N/A,#N/A,FALSE,"단축3";#N/A,#N/A,FALSE,"장축";#N/A,#N/A,FALSE,"4WD"}</definedName>
    <definedName name="F" localSheetId="3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AC" localSheetId="0" hidden="1">{#VALUE!,#N/A,FALSE,0;#N/A,#N/A,FALSE,0;#N/A,#N/A,FALSE,0;#N/A,#N/A,FALSE,0;#N/A,#N/A,FALSE,0;#N/A,#N/A,FALSE,0;#N/A,#N/A,FALSE,0;#N/A,#N/A,FALSE,0;#N/A,#N/A,FALSE,0;#N/A,#N/A,FALSE,0;#N/A,#N/A,FALSE,0}</definedName>
    <definedName name="FAC" localSheetId="3" hidden="1">{#VALUE!,#N/A,FALSE,0;#N/A,#N/A,FALSE,0;#N/A,#N/A,FALSE,0;#N/A,#N/A,FALSE,0;#N/A,#N/A,FALSE,0;#N/A,#N/A,FALSE,0;#N/A,#N/A,FALSE,0;#N/A,#N/A,FALSE,0;#N/A,#N/A,FALSE,0;#N/A,#N/A,FALSE,0;#N/A,#N/A,FALSE,0}</definedName>
    <definedName name="FAC" hidden="1">{#VALUE!,#N/A,FALSE,0;#N/A,#N/A,FALSE,0;#N/A,#N/A,FALSE,0;#N/A,#N/A,FALSE,0;#N/A,#N/A,FALSE,0;#N/A,#N/A,FALSE,0;#N/A,#N/A,FALSE,0;#N/A,#N/A,FALSE,0;#N/A,#N/A,FALSE,0;#N/A,#N/A,FALSE,0;#N/A,#N/A,FALSE,0}</definedName>
    <definedName name="factors">[11]도움말!$AA$3:$AK$10</definedName>
    <definedName name="FDG" localSheetId="0" hidden="1">{#N/A,#N/A,FALSE,"제목"}</definedName>
    <definedName name="FDG" localSheetId="3" hidden="1">{#N/A,#N/A,FALSE,"제목"}</definedName>
    <definedName name="FDG" hidden="1">{#N/A,#N/A,FALSE,"제목"}</definedName>
    <definedName name="FDJGDFHJ" localSheetId="0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" localSheetId="0" hidden="1">{#N/A,#N/A,FALSE,"제목"}</definedName>
    <definedName name="FDS" localSheetId="3" hidden="1">{#N/A,#N/A,FALSE,"제목"}</definedName>
    <definedName name="FDS" hidden="1">{#N/A,#N/A,FALSE,"제목"}</definedName>
    <definedName name="fdsf" localSheetId="0" hidden="1">#REF!</definedName>
    <definedName name="fdsf" localSheetId="3" hidden="1">#REF!</definedName>
    <definedName name="fdsf" hidden="1">#REF!</definedName>
    <definedName name="fdsfdsf" localSheetId="0">'[1]#REF'!#REF!</definedName>
    <definedName name="fdsfdsf" localSheetId="3">'[1]#REF'!#REF!</definedName>
    <definedName name="fdsfdsf">'[1]#REF'!#REF!</definedName>
    <definedName name="Feeding" localSheetId="0">#REF!</definedName>
    <definedName name="Feeding" localSheetId="3">#REF!</definedName>
    <definedName name="Feeding">#REF!</definedName>
    <definedName name="ff" localSheetId="0">[12]종합!#REF!</definedName>
    <definedName name="ff" localSheetId="3">[12]종합!#REF!</definedName>
    <definedName name="ff">[12]종합!#REF!</definedName>
    <definedName name="FFFFFFF" localSheetId="0">#REF!</definedName>
    <definedName name="FFFFFFF" localSheetId="3">#REF!</definedName>
    <definedName name="FFFFFFF">#REF!</definedName>
    <definedName name="FG12TBTB2RTDKDKGMLRT" localSheetId="0">[13]협조전!#REF!</definedName>
    <definedName name="FG12TBTB2RTDKDKGMLRT" localSheetId="3">[13]협조전!#REF!</definedName>
    <definedName name="FG12TBTB2RTDKDKGMLRT">[13]협조전!#REF!</definedName>
    <definedName name="FGH" localSheetId="0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H" localSheetId="0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HGF" localSheetId="0">#REF!</definedName>
    <definedName name="FHGF" localSheetId="3">#REF!</definedName>
    <definedName name="FHGF">#REF!</definedName>
    <definedName name="Freq" localSheetId="0">#REF!</definedName>
    <definedName name="Freq" localSheetId="3">#REF!</definedName>
    <definedName name="Freq">#REF!</definedName>
    <definedName name="Frequency" localSheetId="0">#REF!</definedName>
    <definedName name="Frequency" localSheetId="3">#REF!</definedName>
    <definedName name="Frequency">#REF!</definedName>
    <definedName name="Frequency1">#REF!</definedName>
    <definedName name="frt" localSheetId="0" hidden="1">{#N/A,#N/A,FALSE,"단축1";#N/A,#N/A,FALSE,"단축2";#N/A,#N/A,FALSE,"단축3";#N/A,#N/A,FALSE,"장축";#N/A,#N/A,FALSE,"4WD"}</definedName>
    <definedName name="frt" localSheetId="3" hidden="1">{#N/A,#N/A,FALSE,"단축1";#N/A,#N/A,FALSE,"단축2";#N/A,#N/A,FALSE,"단축3";#N/A,#N/A,FALSE,"장축";#N/A,#N/A,FALSE,"4WD"}</definedName>
    <definedName name="frt" hidden="1">{#N/A,#N/A,FALSE,"단축1";#N/A,#N/A,FALSE,"단축2";#N/A,#N/A,FALSE,"단축3";#N/A,#N/A,FALSE,"장축";#N/A,#N/A,FALSE,"4WD"}</definedName>
    <definedName name="FSD" localSheetId="0" hidden="1">{#N/A,#N/A,FALSE,"제목"}</definedName>
    <definedName name="FSD" localSheetId="3" hidden="1">{#N/A,#N/A,FALSE,"제목"}</definedName>
    <definedName name="FSD" hidden="1">{#N/A,#N/A,FALSE,"제목"}</definedName>
    <definedName name="FSDAF" localSheetId="0" hidden="1">{#N/A,#N/A,FALSE,"제목"}</definedName>
    <definedName name="FSDAF" localSheetId="3" hidden="1">{#N/A,#N/A,FALSE,"제목"}</definedName>
    <definedName name="FSDAF" hidden="1">{#N/A,#N/A,FALSE,"제목"}</definedName>
    <definedName name="FuelSys" localSheetId="0">#REF!</definedName>
    <definedName name="FuelSys" localSheetId="3">#REF!</definedName>
    <definedName name="FuelSys">#REF!</definedName>
    <definedName name="FuelType" localSheetId="3">#REF!</definedName>
    <definedName name="FuelType">#REF!</definedName>
    <definedName name="fvagv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fvagv" localSheetId="3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fvagv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">[14]CALSHEET!$D$22</definedName>
    <definedName name="GenEff" localSheetId="0">#REF!</definedName>
    <definedName name="GenEff" localSheetId="3">#REF!</definedName>
    <definedName name="GenEff">#REF!</definedName>
    <definedName name="GFJG" localSheetId="0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HG" localSheetId="0" hidden="1">#REF!</definedName>
    <definedName name="GHG" localSheetId="3" hidden="1">#REF!</definedName>
    <definedName name="GHG" hidden="1">#REF!</definedName>
    <definedName name="GJ" localSheetId="0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H" localSheetId="0" hidden="1">{#N/A,#N/A,FALSE,"제목"}</definedName>
    <definedName name="GJH" localSheetId="3" hidden="1">{#N/A,#N/A,FALSE,"제목"}</definedName>
    <definedName name="GJH" hidden="1">{#N/A,#N/A,FALSE,"제목"}</definedName>
    <definedName name="good" localSheetId="0" hidden="1">#REF!</definedName>
    <definedName name="good" localSheetId="3" hidden="1">#REF!</definedName>
    <definedName name="good" hidden="1">#REF!</definedName>
    <definedName name="h" localSheetId="3">#REF!</definedName>
    <definedName name="h">#REF!</definedName>
    <definedName name="HGGGH" localSheetId="0" hidden="1">{#N/A,#N/A,FALSE,"제목"}</definedName>
    <definedName name="HGGGH" localSheetId="3" hidden="1">{#N/A,#N/A,FALSE,"제목"}</definedName>
    <definedName name="HGGGH" hidden="1">{#N/A,#N/A,FALSE,"제목"}</definedName>
    <definedName name="HJ" localSheetId="0" hidden="1">{#N/A,#N/A,FALSE,"제목"}</definedName>
    <definedName name="HJ" localSheetId="3" hidden="1">{#N/A,#N/A,FALSE,"제목"}</definedName>
    <definedName name="HJ" hidden="1">{#N/A,#N/A,FALSE,"제목"}</definedName>
    <definedName name="hngdnbd" hidden="1">'[4]진행 DATA (2)'!#REF!</definedName>
    <definedName name="hri" localSheetId="0" hidden="1">{"'アサイメント'!$B$1:$L$16","'アサイメント'!$B$18:$L$30"}</definedName>
    <definedName name="hri" localSheetId="3" hidden="1">{"'アサイメント'!$B$1:$L$16","'アサイメント'!$B$18:$L$30"}</definedName>
    <definedName name="hri" hidden="1">{"'アサイメント'!$B$1:$L$16","'アサイメント'!$B$18:$L$30"}</definedName>
    <definedName name="HTML_CodePage" hidden="1">932</definedName>
    <definedName name="HTML_Control" localSheetId="0" hidden="1">{"'アサイメント'!$B$1:$L$16","'アサイメント'!$B$18:$L$30"}</definedName>
    <definedName name="HTML_Control" localSheetId="3" hidden="1">{"'アサイメント'!$B$1:$L$16","'アサイメント'!$B$18:$L$30"}</definedName>
    <definedName name="HTML_Control" hidden="1">{"'アサイメント'!$B$1:$L$16","'アサイメント'!$B$18:$L$30"}</definedName>
    <definedName name="HTML_Description" hidden="1">""</definedName>
    <definedName name="HTML_Email" hidden="1">""</definedName>
    <definedName name="HTML_Header" hidden="1">""</definedName>
    <definedName name="HTML_LastUpdate" hidden="1">"07/30/02"</definedName>
    <definedName name="HTML_LineAfter" hidden="1">FALSE</definedName>
    <definedName name="HTML_LineBefore" hidden="1">FALSE</definedName>
    <definedName name="HTML_Name" hidden="1">"A0688775"</definedName>
    <definedName name="HTML_OBDlg2" hidden="1">TRUE</definedName>
    <definedName name="HTML_OBDlg4" hidden="1">TRUE</definedName>
    <definedName name="HTML_OS" hidden="1">0</definedName>
    <definedName name="HTML_PathFile" hidden="1">"O:\KOUGI\計測機器関連\計測担当.htm"</definedName>
    <definedName name="HTML_Title" hidden="1">""</definedName>
    <definedName name="HTUQty" localSheetId="0">#REF!</definedName>
    <definedName name="HTUQty" localSheetId="3">#REF!</definedName>
    <definedName name="HTUQty">#REF!</definedName>
    <definedName name="i" localSheetId="3">#REF!</definedName>
    <definedName name="i">#REF!</definedName>
    <definedName name="II">#REF!</definedName>
    <definedName name="INPUT" localSheetId="0">#REF!</definedName>
    <definedName name="INPUT">#REF!</definedName>
    <definedName name="InqMarSAS050204" localSheetId="0">#REF!</definedName>
    <definedName name="InqMarSAS050204">#REF!</definedName>
    <definedName name="IntakeAir">#REF!</definedName>
    <definedName name="INVOICE2" localSheetId="0">[15]list!#REF!</definedName>
    <definedName name="INVOICE2" localSheetId="3">[15]list!#REF!</definedName>
    <definedName name="INVOICE2">[15]list!#REF!</definedName>
    <definedName name="j" localSheetId="0">#REF!</definedName>
    <definedName name="j" localSheetId="3">#REF!</definedName>
    <definedName name="j">#REF!</definedName>
    <definedName name="JFSDJH" localSheetId="0" hidden="1">{#N/A,#N/A,FALSE,"단축1";#N/A,#N/A,FALSE,"단축2";#N/A,#N/A,FALSE,"단축3";#N/A,#N/A,FALSE,"장축";#N/A,#N/A,FALSE,"4WD"}</definedName>
    <definedName name="JFSDJH" localSheetId="3" hidden="1">{#N/A,#N/A,FALSE,"단축1";#N/A,#N/A,FALSE,"단축2";#N/A,#N/A,FALSE,"단축3";#N/A,#N/A,FALSE,"장축";#N/A,#N/A,FALSE,"4WD"}</definedName>
    <definedName name="JFSDJH" hidden="1">{#N/A,#N/A,FALSE,"단축1";#N/A,#N/A,FALSE,"단축2";#N/A,#N/A,FALSE,"단축3";#N/A,#N/A,FALSE,"장축";#N/A,#N/A,FALSE,"4WD"}</definedName>
    <definedName name="JGHJ" localSheetId="0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kfjkdlj" localSheetId="0" hidden="1">{#N/A,#N/A,FALSE,"단축1";#N/A,#N/A,FALSE,"단축2";#N/A,#N/A,FALSE,"단축3";#N/A,#N/A,FALSE,"장축";#N/A,#N/A,FALSE,"4WD"}</definedName>
    <definedName name="jkfjkdlj" localSheetId="3" hidden="1">{#N/A,#N/A,FALSE,"단축1";#N/A,#N/A,FALSE,"단축2";#N/A,#N/A,FALSE,"단축3";#N/A,#N/A,FALSE,"장축";#N/A,#N/A,FALSE,"4WD"}</definedName>
    <definedName name="jkfjkdlj" hidden="1">{#N/A,#N/A,FALSE,"단축1";#N/A,#N/A,FALSE,"단축2";#N/A,#N/A,FALSE,"단축3";#N/A,#N/A,FALSE,"장축";#N/A,#N/A,FALSE,"4WD"}</definedName>
    <definedName name="JKS" localSheetId="0" hidden="1">{#N/A,#N/A,TRUE,"일정"}</definedName>
    <definedName name="JKS" localSheetId="3" hidden="1">{#N/A,#N/A,TRUE,"일정"}</definedName>
    <definedName name="JKS" hidden="1">{#N/A,#N/A,TRUE,"일정"}</definedName>
    <definedName name="JWG" localSheetId="0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localSheetId="0">#REF!</definedName>
    <definedName name="k" localSheetId="3">#REF!</definedName>
    <definedName name="k">#REF!</definedName>
    <definedName name="K115부품공급계획" localSheetId="0" hidden="1">{#N/A,#N/A,TRUE,"일정"}</definedName>
    <definedName name="K115부품공급계획" localSheetId="3" hidden="1">{#N/A,#N/A,TRUE,"일정"}</definedName>
    <definedName name="K115부품공급계획" hidden="1">{#N/A,#N/A,TRUE,"일정"}</definedName>
    <definedName name="K115부품공급일정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ey" localSheetId="0" hidden="1">#REF!</definedName>
    <definedName name="key" localSheetId="3" hidden="1">#REF!</definedName>
    <definedName name="key" hidden="1">#REF!</definedName>
    <definedName name="KJH">#N/A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TY" localSheetId="0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L">[13]협조전!#REF!</definedName>
    <definedName name="lgid" localSheetId="0">#REF!</definedName>
    <definedName name="lgid" localSheetId="3">#REF!</definedName>
    <definedName name="lgid">#REF!</definedName>
    <definedName name="line운전개요" localSheetId="0" hidden="1">{#N/A,#N/A,FALSE,"ENG'G(보호계전기)"}</definedName>
    <definedName name="line운전개요" localSheetId="3" hidden="1">{#N/A,#N/A,FALSE,"ENG'G(보호계전기)"}</definedName>
    <definedName name="line운전개요" hidden="1">{#N/A,#N/A,FALSE,"ENG'G(보호계전기)"}</definedName>
    <definedName name="LIST" localSheetId="0">#REF!</definedName>
    <definedName name="LIST" localSheetId="3">#REF!</definedName>
    <definedName name="LIST">#REF!</definedName>
    <definedName name="LIST1" localSheetId="0">#REF!</definedName>
    <definedName name="LIST1" localSheetId="3">#REF!</definedName>
    <definedName name="LIST1">#REF!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SS" localSheetId="0">#REF!</definedName>
    <definedName name="LSS" localSheetId="3">#REF!</definedName>
    <definedName name="LSS">#REF!</definedName>
    <definedName name="LSSOPT" localSheetId="3">#REF!</definedName>
    <definedName name="LSSOPT">#REF!</definedName>
    <definedName name="LSSPeriod" localSheetId="3">#REF!</definedName>
    <definedName name="LSSPeriod">#REF!</definedName>
    <definedName name="LSSQTY">#REF!</definedName>
    <definedName name="LSSTrain">#REF!</definedName>
    <definedName name="LubOilSys">#REF!</definedName>
    <definedName name="m">#REF!</definedName>
    <definedName name="Macro1">#N/A</definedName>
    <definedName name="Macro2">#N/A</definedName>
    <definedName name="Macro3">#N/A</definedName>
    <definedName name="Macro5">#N/A</definedName>
    <definedName name="MASTER" localSheetId="0" hidden="1">{#N/A,#N/A,TRUE,"일정"}</definedName>
    <definedName name="MASTER" localSheetId="3" hidden="1">{#N/A,#N/A,TRUE,"일정"}</definedName>
    <definedName name="MASTER" hidden="1">{#N/A,#N/A,TRUE,"일정"}</definedName>
    <definedName name="MDUHTU" localSheetId="0">#REF!</definedName>
    <definedName name="MDUHTU" localSheetId="3">#REF!</definedName>
    <definedName name="MDUHTU">#REF!</definedName>
    <definedName name="MDUQty" localSheetId="3">#REF!</definedName>
    <definedName name="MDUQty">#REF!</definedName>
    <definedName name="mel" localSheetId="0" hidden="1">{"'アサイメント'!$B$1:$L$16","'アサイメント'!$B$18:$L$30"}</definedName>
    <definedName name="mel" localSheetId="3" hidden="1">{"'アサイメント'!$B$1:$L$16","'アサイメント'!$B$18:$L$30"}</definedName>
    <definedName name="mel" hidden="1">{"'アサイメント'!$B$1:$L$16","'アサイメント'!$B$18:$L$30"}</definedName>
    <definedName name="Metro_Raw" localSheetId="0" hidden="1">{"'アサイメント'!$B$1:$L$16","'アサイメント'!$B$18:$L$30"}</definedName>
    <definedName name="Metro_Raw" localSheetId="3" hidden="1">{"'アサイメント'!$B$1:$L$16","'アサイメント'!$B$18:$L$30"}</definedName>
    <definedName name="Metro_Raw" hidden="1">{"'アサイメント'!$B$1:$L$16","'アサイメント'!$B$18:$L$30"}</definedName>
    <definedName name="MI" localSheetId="0">'[16]4.6'!#REF!</definedName>
    <definedName name="MI" localSheetId="3">'[16]4.6'!#REF!</definedName>
    <definedName name="MI">'[16]4.6'!#REF!</definedName>
    <definedName name="MMMMMMMMMMMMMMMM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N" localSheetId="0">#REF!</definedName>
    <definedName name="MN" localSheetId="3">#REF!</definedName>
    <definedName name="MN">#REF!</definedName>
    <definedName name="Module1.Macro1">#N/A</definedName>
    <definedName name="Module1.Macro2">#N/A</definedName>
    <definedName name="Module1.Macro3">#N/A</definedName>
    <definedName name="Module2.Macro5">#N/A</definedName>
    <definedName name="Module4.매크로10">#N/A</definedName>
    <definedName name="Module4.매크로11">#N/A</definedName>
    <definedName name="Module4.매크로12">#N/A</definedName>
    <definedName name="Module4.매크로13">#N/A</definedName>
    <definedName name="Module4.매크로14">#N/A</definedName>
    <definedName name="Module4.매크로15">#N/A</definedName>
    <definedName name="Module4.매크로16">#N/A</definedName>
    <definedName name="Module4.매크로17">#N/A</definedName>
    <definedName name="Module4.매크로6">#N/A</definedName>
    <definedName name="Module4.매크로8">#N/A</definedName>
    <definedName name="Module4.매크로9">#N/A</definedName>
    <definedName name="M행" localSheetId="0">#REF!</definedName>
    <definedName name="M행" localSheetId="3">#REF!</definedName>
    <definedName name="M행">#REF!</definedName>
    <definedName name="N" localSheetId="0">[17]TOTAL!#REF!</definedName>
    <definedName name="N" localSheetId="3">[17]TOTAL!#REF!</definedName>
    <definedName name="N">[17]TOTAL!#REF!</definedName>
    <definedName name="NEWNAME" localSheetId="0" hidden="1">{#N/A,#N/A,FALSE,"CCTV"}</definedName>
    <definedName name="NEWNAME" localSheetId="3" hidden="1">{#N/A,#N/A,FALSE,"CCTV"}</definedName>
    <definedName name="NEWNAME" hidden="1">{#N/A,#N/A,FALSE,"CCTV"}</definedName>
    <definedName name="N행" localSheetId="0">#REF!</definedName>
    <definedName name="N행" localSheetId="3">#REF!</definedName>
    <definedName name="N행">#REF!</definedName>
    <definedName name="OilyWater" localSheetId="3">#REF!</definedName>
    <definedName name="OilyWater">#REF!</definedName>
    <definedName name="O행" localSheetId="3">#REF!</definedName>
    <definedName name="O행">#REF!</definedName>
    <definedName name="PAGE4" localSheetId="0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 localSheetId="0">#REF!</definedName>
    <definedName name="part" localSheetId="3">#REF!</definedName>
    <definedName name="part">#REF!</definedName>
    <definedName name="PFactor" localSheetId="0">#REF!</definedName>
    <definedName name="PFactor" localSheetId="3">#REF!</definedName>
    <definedName name="PFactor">#REF!</definedName>
    <definedName name="pound" localSheetId="0">#REF!</definedName>
    <definedName name="pound" localSheetId="3">#REF!</definedName>
    <definedName name="pound">#REF!</definedName>
    <definedName name="PPCapacity">#REF!</definedName>
    <definedName name="PPP" localSheetId="0" hidden="1">{#N/A,#N/A,TRUE,"일정"}</definedName>
    <definedName name="PPP" localSheetId="3" hidden="1">{#N/A,#N/A,TRUE,"일정"}</definedName>
    <definedName name="PPP" hidden="1">{#N/A,#N/A,TRUE,"일정"}</definedName>
    <definedName name="PressUnit" localSheetId="0">#REF!</definedName>
    <definedName name="PressUnit" localSheetId="3">#REF!</definedName>
    <definedName name="PressUnit">#REF!</definedName>
    <definedName name="_xlnm.Print_Area" localSheetId="0">'CI &amp; PL'!$A$1:$P$51</definedName>
    <definedName name="_xlnm.Print_Area" localSheetId="3">'Investment Contract'!$A$1:$K$44</definedName>
    <definedName name="_xlnm.Print_Area">#REF!</definedName>
    <definedName name="Print_Area_MI" localSheetId="0">#REF!</definedName>
    <definedName name="Print_Area_MI" localSheetId="3">#REF!</definedName>
    <definedName name="Print_Area_MI">#REF!</definedName>
    <definedName name="_xlnm.Print_Titles" localSheetId="0">#REF!,#REF!</definedName>
    <definedName name="_xlnm.Print_Titles" localSheetId="3">#REF!,#REF!</definedName>
    <definedName name="_xlnm.Print_Titles">#REF!,#REF!</definedName>
    <definedName name="PRINT1">[18]!PRINT1</definedName>
    <definedName name="PRINT2">[18]!PRINT2</definedName>
    <definedName name="Priority" localSheetId="0">#REF!</definedName>
    <definedName name="Priority" localSheetId="3">#REF!</definedName>
    <definedName name="Priority">#REF!</definedName>
    <definedName name="product">[10]!product</definedName>
    <definedName name="PROICESS2" localSheetId="0" hidden="1">{#N/A,#N/A,FALSE,"단축1";#N/A,#N/A,FALSE,"단축2";#N/A,#N/A,FALSE,"단축3";#N/A,#N/A,FALSE,"장축";#N/A,#N/A,FALSE,"4WD"}</definedName>
    <definedName name="PROICESS2" localSheetId="3" hidden="1">{#N/A,#N/A,FALSE,"단축1";#N/A,#N/A,FALSE,"단축2";#N/A,#N/A,FALSE,"단축3";#N/A,#N/A,FALSE,"장축";#N/A,#N/A,FALSE,"4WD"}</definedName>
    <definedName name="PROICESS2" hidden="1">{#N/A,#N/A,FALSE,"단축1";#N/A,#N/A,FALSE,"단축2";#N/A,#N/A,FALSE,"단축3";#N/A,#N/A,FALSE,"장축";#N/A,#N/A,FALSE,"4WD"}</definedName>
    <definedName name="PType" localSheetId="0">#REF!</definedName>
    <definedName name="PType" localSheetId="3">#REF!</definedName>
    <definedName name="PType">#REF!</definedName>
    <definedName name="P행" localSheetId="3">#REF!</definedName>
    <definedName name="P행">#REF!</definedName>
    <definedName name="Q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">#N/A</definedName>
    <definedName name="QQQ">#N/A</definedName>
    <definedName name="Q행" localSheetId="0">#REF!</definedName>
    <definedName name="Q행" localSheetId="3">#REF!</definedName>
    <definedName name="Q행">#REF!</definedName>
    <definedName name="R_COVER" localSheetId="0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NGE" localSheetId="0">#REF!</definedName>
    <definedName name="RANGE" localSheetId="3">#REF!</definedName>
    <definedName name="RANGE">#REF!</definedName>
    <definedName name="_xlnm.Recorder" localSheetId="3">#REF!</definedName>
    <definedName name="_xlnm.Recorder">#REF!</definedName>
    <definedName name="RLA">'[19]김동덕 자산 IF3'!$A$1:$IV$65536</definedName>
    <definedName name="RLKTJGREKTJ" localSheetId="0">#REF!</definedName>
    <definedName name="RLKTJGREKTJ" localSheetId="3">#REF!</definedName>
    <definedName name="RLKTJGREKTJ">#REF!</definedName>
    <definedName name="rm" localSheetId="0">#REF!</definedName>
    <definedName name="rm" localSheetId="3">#REF!</definedName>
    <definedName name="rm">#REF!</definedName>
    <definedName name="RR.BRAKE" localSheetId="0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ER" localSheetId="0" hidden="1">{#N/A,#N/A,FALSE,"제목"}</definedName>
    <definedName name="RWER" localSheetId="3" hidden="1">{#N/A,#N/A,FALSE,"제목"}</definedName>
    <definedName name="RWER" hidden="1">{#N/A,#N/A,FALSE,"제목"}</definedName>
    <definedName name="R행" localSheetId="0">#REF!</definedName>
    <definedName name="R행" localSheetId="3">#REF!</definedName>
    <definedName name="R행">#REF!</definedName>
    <definedName name="sample1" localSheetId="0">#REF!</definedName>
    <definedName name="sample1" localSheetId="3">#REF!</definedName>
    <definedName name="sample1">#REF!</definedName>
    <definedName name="sample2" localSheetId="0">#REF!</definedName>
    <definedName name="sample2" localSheetId="3">#REF!</definedName>
    <definedName name="sample2">#REF!</definedName>
    <definedName name="sd" localSheetId="0" hidden="1">{"'アサイメント'!$B$1:$L$16","'アサイメント'!$B$18:$L$30"}</definedName>
    <definedName name="sd" localSheetId="3" hidden="1">{"'アサイメント'!$B$1:$L$16","'アサイメント'!$B$18:$L$30"}</definedName>
    <definedName name="sd" hidden="1">{"'アサイメント'!$B$1:$L$16","'アサイメント'!$B$18:$L$30"}</definedName>
    <definedName name="SDFGH" localSheetId="0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0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0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dfs" localSheetId="0" hidden="1">{"'アサイメント'!$B$1:$L$16","'アサイメント'!$B$18:$L$30"}</definedName>
    <definedName name="sdfsdfs" localSheetId="3" hidden="1">{"'アサイメント'!$B$1:$L$16","'アサイメント'!$B$18:$L$30"}</definedName>
    <definedName name="sdfsdfs" hidden="1">{"'アサイメント'!$B$1:$L$16","'アサイメント'!$B$18:$L$30"}</definedName>
    <definedName name="sdgbfgktg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gbfgktg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gbfgkt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" localSheetId="0">#REF!</definedName>
    <definedName name="se" localSheetId="3">#REF!</definedName>
    <definedName name="se">#REF!</definedName>
    <definedName name="sfdcasdf" localSheetId="0" hidden="1">{"'アサイメント'!$B$1:$L$16","'アサイメント'!$B$18:$L$30"}</definedName>
    <definedName name="sfdcasdf" localSheetId="3" hidden="1">{"'アサイメント'!$B$1:$L$16","'アサイメント'!$B$18:$L$30"}</definedName>
    <definedName name="sfdcasdf" hidden="1">{"'アサイメント'!$B$1:$L$16","'アサイメント'!$B$18:$L$30"}</definedName>
    <definedName name="SFDGHG" localSheetId="0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0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" localSheetId="0" hidden="1">{"'アサイメント'!$B$1:$L$16","'アサイメント'!$B$18:$L$30"}</definedName>
    <definedName name="sfs" localSheetId="3" hidden="1">{"'アサイメント'!$B$1:$L$16","'アサイメント'!$B$18:$L$30"}</definedName>
    <definedName name="sfs" hidden="1">{"'アサイメント'!$B$1:$L$16","'アサイメント'!$B$18:$L$30"}</definedName>
    <definedName name="SFSFSFS" localSheetId="0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htrsd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ghtrsd" localSheetId="3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ghtr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gnhten" hidden="1">'[4]진행 DATA (2)'!#REF!</definedName>
    <definedName name="SH" localSheetId="0" hidden="1">{#N/A,#N/A,FALSE,"제목"}</definedName>
    <definedName name="SH" localSheetId="3" hidden="1">{#N/A,#N/A,FALSE,"제목"}</definedName>
    <definedName name="SH" hidden="1">{#N/A,#N/A,FALSE,"제목"}</definedName>
    <definedName name="SHIN" localSheetId="0" hidden="1">{#N/A,#N/A,FALSE,"P.C.B"}</definedName>
    <definedName name="SHIN" localSheetId="3" hidden="1">{#N/A,#N/A,FALSE,"P.C.B"}</definedName>
    <definedName name="SHIN" hidden="1">{#N/A,#N/A,FALSE,"P.C.B"}</definedName>
    <definedName name="SKFK" localSheetId="0">#REF!</definedName>
    <definedName name="SKFK" localSheetId="3">#REF!</definedName>
    <definedName name="SKFK">#REF!</definedName>
    <definedName name="solver_adj" localSheetId="0" hidden="1">#REF!,#REF!,#REF!</definedName>
    <definedName name="solver_adj" localSheetId="3" hidden="1">#REF!,#REF!,#REF!</definedName>
    <definedName name="solver_adj" hidden="1">#REF!,#REF!,#REF!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5</definedName>
    <definedName name="solver_nwt" hidden="1">1</definedName>
    <definedName name="solver_pre" hidden="1">0.000001</definedName>
    <definedName name="solver_rel1" hidden="1">3</definedName>
    <definedName name="solver_rel2" hidden="1">1</definedName>
    <definedName name="solver_rel3" hidden="1">1</definedName>
    <definedName name="solver_rel4" hidden="1">3</definedName>
    <definedName name="solver_rel5" hidden="1">2</definedName>
    <definedName name="solver_rhs1" hidden="1">0</definedName>
    <definedName name="solver_rhs2" hidden="1">1</definedName>
    <definedName name="solver_rhs3" hidden="1">1</definedName>
    <definedName name="solver_rhs4" hidden="1">0</definedName>
    <definedName name="solver_rhs5" hidden="1">0.5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3</definedName>
    <definedName name="solver_val" hidden="1">1.333333</definedName>
    <definedName name="SOON" localSheetId="0" hidden="1">{#N/A,#N/A,FALSE,"P.C.B"}</definedName>
    <definedName name="SOON" localSheetId="3" hidden="1">{#N/A,#N/A,FALSE,"P.C.B"}</definedName>
    <definedName name="SOON" hidden="1">{#N/A,#N/A,FALSE,"P.C.B"}</definedName>
    <definedName name="SPEC2" localSheetId="0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ED_D170" localSheetId="0">#REF!</definedName>
    <definedName name="SPEED_D170" localSheetId="3">#REF!</definedName>
    <definedName name="SPEED_D170">#REF!</definedName>
    <definedName name="ss" localSheetId="0">[12]종합!#REF!</definedName>
    <definedName name="ss" localSheetId="3">[12]종합!#REF!</definedName>
    <definedName name="ss">[12]종합!#REF!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 hidden="1">{"'アサイメント'!$B$1:$L$16","'アサイメント'!$B$18:$L$30"}</definedName>
    <definedName name="ssss" localSheetId="3" hidden="1">{"'アサイメント'!$B$1:$L$16","'アサイメント'!$B$18:$L$30"}</definedName>
    <definedName name="ssss" hidden="1">{"'アサイメント'!$B$1:$L$16","'アサイメント'!$B$18:$L$30"}</definedName>
    <definedName name="SUBPCB" localSheetId="0">#REF!</definedName>
    <definedName name="SUBPCB" localSheetId="3">#REF!</definedName>
    <definedName name="SUBPCB">#REF!</definedName>
    <definedName name="SUMMARYT" localSheetId="3" hidden="1">#REF!</definedName>
    <definedName name="SUMMARYT" hidden="1">#REF!</definedName>
    <definedName name="SVC제품별매출" localSheetId="0" hidden="1">{#N/A,#N/A,FALSE,"P.C.B"}</definedName>
    <definedName name="SVC제품별매출" localSheetId="3" hidden="1">{#N/A,#N/A,FALSE,"P.C.B"}</definedName>
    <definedName name="SVC제품별매출" hidden="1">{#N/A,#N/A,FALSE,"P.C.B"}</definedName>
    <definedName name="S행" localSheetId="0">#REF!</definedName>
    <definedName name="S행" localSheetId="3">#REF!</definedName>
    <definedName name="S행">#REF!</definedName>
    <definedName name="T" localSheetId="0" hidden="1">{#N/A,#N/A,FALSE,"단축1";#N/A,#N/A,FALSE,"단축2";#N/A,#N/A,FALSE,"단축3";#N/A,#N/A,FALSE,"장축";#N/A,#N/A,FALSE,"4WD"}</definedName>
    <definedName name="T" localSheetId="3" hidden="1">{#N/A,#N/A,FALSE,"단축1";#N/A,#N/A,FALSE,"단축2";#N/A,#N/A,FALSE,"단축3";#N/A,#N/A,FALSE,"장축";#N/A,#N/A,FALSE,"4WD"}</definedName>
    <definedName name="T" hidden="1">{#N/A,#N/A,FALSE,"단축1";#N/A,#N/A,FALSE,"단축2";#N/A,#N/A,FALSE,"단축3";#N/A,#N/A,FALSE,"장축";#N/A,#N/A,FALSE,"4WD"}</definedName>
    <definedName name="Temperature" localSheetId="0">#REF!</definedName>
    <definedName name="Temperature" localSheetId="3">#REF!</definedName>
    <definedName name="Temperature">#REF!</definedName>
    <definedName name="TEST0" localSheetId="0">#REF!</definedName>
    <definedName name="TEST0" localSheetId="3">#REF!</definedName>
    <definedName name="TEST0">#REF!</definedName>
    <definedName name="TESTHKEY" localSheetId="0">#REF!</definedName>
    <definedName name="TESTHKEY" localSheetId="3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OADDTION">[10]!TOADDTION</definedName>
    <definedName name="TOEDDTING">[10]!TOEDDTING</definedName>
    <definedName name="TOINQUIRY">[10]!TOINQUIRY</definedName>
    <definedName name="Tools" localSheetId="0" hidden="1">{"EXPORT",#N/A,FALSE,"A8CONTENT"}</definedName>
    <definedName name="Tools" localSheetId="3" hidden="1">{"EXPORT",#N/A,FALSE,"A8CONTENT"}</definedName>
    <definedName name="Tools" hidden="1">{"EXPORT",#N/A,FALSE,"A8CONTENT"}</definedName>
    <definedName name="TORSION" localSheetId="0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PRINT">[10]!TOTALPRINT</definedName>
    <definedName name="TYRUI" localSheetId="0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행" localSheetId="0">#REF!</definedName>
    <definedName name="T행" localSheetId="3">#REF!</definedName>
    <definedName name="T행">#REF!</definedName>
    <definedName name="usd" localSheetId="3">#REF!</definedName>
    <definedName name="usd">#REF!</definedName>
    <definedName name="U행" localSheetId="3">#REF!</definedName>
    <definedName name="U행">#REF!</definedName>
    <definedName name="ve">#N/A</definedName>
    <definedName name="Ventilation" localSheetId="0">#REF!</definedName>
    <definedName name="Ventilation" localSheetId="3">#REF!</definedName>
    <definedName name="Ventilation">#REF!</definedName>
    <definedName name="vfdsabgfd" localSheetId="0" hidden="1">'[4]진행 DATA (2)'!#REF!</definedName>
    <definedName name="vfdsabgfd" localSheetId="3" hidden="1">'[4]진행 DATA (2)'!#REF!</definedName>
    <definedName name="vfdsabgfd" hidden="1">'[4]진행 DATA (2)'!#REF!</definedName>
    <definedName name="Viscosity" localSheetId="0">#REF!</definedName>
    <definedName name="Viscosity" localSheetId="3">#REF!</definedName>
    <definedName name="Viscosity">#REF!</definedName>
    <definedName name="VoIP" localSheetId="0" hidden="1">{"'사직서'!$A$1:$H$9"}</definedName>
    <definedName name="VoIP" localSheetId="3" hidden="1">{"'사직서'!$A$1:$H$9"}</definedName>
    <definedName name="VoIP" hidden="1">{"'사직서'!$A$1:$H$9"}</definedName>
    <definedName name="V행">#REF!</definedName>
    <definedName name="W">#REF!</definedName>
    <definedName name="WCa">#REF!</definedName>
    <definedName name="we" localSheetId="0">INDIRECT(ADDRESS(MATCH([20]製令單!$M$1,'CI &amp; PL'!a,0),2,1,1,"圖表"))</definedName>
    <definedName name="we" localSheetId="3">INDIRECT(ADDRESS(MATCH([20]製令單!$M$1,'Investment Contract'!a,0),2,1,1,"圖表"))</definedName>
    <definedName name="we">INDIRECT(ADDRESS(MATCH([20]製令單!$M$1,[0]!a,0),2,1,1,"圖表"))</definedName>
    <definedName name="WELDG" localSheetId="0">#REF!</definedName>
    <definedName name="WELDG" localSheetId="3">#REF!</definedName>
    <definedName name="WELDG">#REF!</definedName>
    <definedName name="WEQ" localSheetId="0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O\\\\\\재료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\\\\\\재료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" localSheetId="0">#REF!</definedName>
    <definedName name="WON" localSheetId="3">#REF!</definedName>
    <definedName name="WON">#REF!</definedName>
    <definedName name="WRITE" localSheetId="0" hidden="1">{#N/A,#N/A,FALSE,"CCTV"}</definedName>
    <definedName name="WRITE" localSheetId="3" hidden="1">{#N/A,#N/A,FALSE,"CCTV"}</definedName>
    <definedName name="WRITE" hidden="1">{#N/A,#N/A,FALSE,"CCTV"}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11." localSheetId="0" hidden="1">{#N/A,#N/A,FALSE,"제목"}</definedName>
    <definedName name="wrn.111." localSheetId="3" hidden="1">{#N/A,#N/A,FALSE,"제목"}</definedName>
    <definedName name="wrn.111." hidden="1">{#N/A,#N/A,FALSE,"제목"}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3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3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localSheetId="3" hidden="1">{#N/A,#N/A,FALSE,"CCTV"}</definedName>
    <definedName name="wrn.BM." hidden="1">{#N/A,#N/A,FALSE,"CCTV"}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localSheetId="0" hidden="1">{"DOM",#N/A,FALSE,"A8CONTENT"}</definedName>
    <definedName name="wrn.DOM." localSheetId="3" hidden="1">{"DOM",#N/A,FALSE,"A8CONTENT"}</definedName>
    <definedName name="wrn.DOM." hidden="1">{"DOM",#N/A,FALSE,"A8CONTENT"}</definedName>
    <definedName name="wrn.EXPORT." localSheetId="0" hidden="1">{"EXPORT",#N/A,FALSE,"A8CONTENT"}</definedName>
    <definedName name="wrn.EXPORT." localSheetId="3" hidden="1">{"EXPORT",#N/A,FALSE,"A8CONTENT"}</definedName>
    <definedName name="wrn.EXPORT." hidden="1">{"EXPORT",#N/A,FALSE,"A8CONTENT"}</definedName>
    <definedName name="wrn.ll." localSheetId="0" hidden="1">{#N/A,#N/A,FALSE,"反応式.EC2"}</definedName>
    <definedName name="wrn.ll." localSheetId="3" hidden="1">{#N/A,#N/A,FALSE,"反応式.EC2"}</definedName>
    <definedName name="wrn.ll." hidden="1">{#N/A,#N/A,FALSE,"反応式.EC2"}</definedName>
    <definedName name="wrn.PCB원가계산." localSheetId="0" hidden="1">{#N/A,#N/A,FALSE,"P.C.B"}</definedName>
    <definedName name="wrn.PCB원가계산." localSheetId="3" hidden="1">{#N/A,#N/A,FALSE,"P.C.B"}</definedName>
    <definedName name="wrn.PCB원가계산." hidden="1">{#N/A,#N/A,FALSE,"P.C.B"}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기성." localSheetId="0" hidden="1">{#N/A,#N/A,FALSE,"신청통보";#N/A,#N/A,FALSE,"기성확인서";#N/A,#N/A,FALSE,"기성내역서"}</definedName>
    <definedName name="wrn.기성." localSheetId="3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localSheetId="3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3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보호계전기." localSheetId="0" hidden="1">{#N/A,#N/A,FALSE,"ENG'G(보호계전기)"}</definedName>
    <definedName name="wrn.보호계전기." localSheetId="3" hidden="1">{#N/A,#N/A,FALSE,"ENG'G(보호계전기)"}</definedName>
    <definedName name="wrn.보호계전기." hidden="1">{#N/A,#N/A,FALSE,"ENG'G(보호계전기)"}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시행결의." localSheetId="0" hidden="1">{#N/A,#N/A,FALSE,"도급대비시행율";#N/A,#N/A,FALSE,"결의서";#N/A,#N/A,FALSE,"내역서";#N/A,#N/A,FALSE,"도급예상"}</definedName>
    <definedName name="wrn.시행결의." localSheetId="3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외주기성." localSheetId="0" hidden="1">{#N/A,#N/A,FALSE,"신청통보";#N/A,#N/A,FALSE,"기성확인서";#N/A,#N/A,FALSE,"기성내역서"}</definedName>
    <definedName name="wrn.외주기성." localSheetId="3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원가검토서." localSheetId="0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통신지." localSheetId="0" hidden="1">{#N/A,#N/A,FALSE,"기안지";#N/A,#N/A,FALSE,"통신지"}</definedName>
    <definedName name="wrn.통신지." localSheetId="3" hidden="1">{#N/A,#N/A,FALSE,"기안지";#N/A,#N/A,FALSE,"통신지"}</definedName>
    <definedName name="wrn.통신지." hidden="1">{#N/A,#N/A,FALSE,"기안지";#N/A,#N/A,FALSE,"통신지"}</definedName>
    <definedName name="ws" localSheetId="0" hidden="1">#REF!</definedName>
    <definedName name="ws" localSheetId="3" hidden="1">#REF!</definedName>
    <definedName name="ws" hidden="1">#REF!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YU" localSheetId="0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W행" localSheetId="0">#REF!</definedName>
    <definedName name="W행" localSheetId="3">#REF!</definedName>
    <definedName name="W행">#REF!</definedName>
    <definedName name="X">#N/A</definedName>
    <definedName name="XD개선" localSheetId="0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0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 localSheetId="0">#REF!</definedName>
    <definedName name="XG액션" localSheetId="3">#REF!</definedName>
    <definedName name="XG액션">#REF!</definedName>
    <definedName name="X행" localSheetId="3">#REF!</definedName>
    <definedName name="X행">#REF!</definedName>
    <definedName name="Y" localSheetId="0">#REF!</definedName>
    <definedName name="Y" localSheetId="3">#REF!</definedName>
    <definedName name="Y">#REF!</definedName>
    <definedName name="yen">#REF!</definedName>
    <definedName name="YOON" localSheetId="0" hidden="1">{#N/A,#N/A,FALSE,"P.C.B"}</definedName>
    <definedName name="YOON" localSheetId="3" hidden="1">{#N/A,#N/A,FALSE,"P.C.B"}</definedName>
    <definedName name="YOON" hidden="1">{#N/A,#N/A,FALSE,"P.C.B"}</definedName>
    <definedName name="YYYYY" localSheetId="0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">#N/A</definedName>
    <definedName name="ㄱ" localSheetId="0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가격" localSheetId="0">#REF!</definedName>
    <definedName name="가격" localSheetId="3">#REF!</definedName>
    <definedName name="가격">#REF!</definedName>
    <definedName name="가나다" localSheetId="0" hidden="1">{"'アサイメント'!$B$1:$L$16","'アサイメント'!$B$18:$L$30"}</definedName>
    <definedName name="가나다" localSheetId="3" hidden="1">{"'アサイメント'!$B$1:$L$16","'アサイメント'!$B$18:$L$30"}</definedName>
    <definedName name="가나다" hidden="1">{"'アサイメント'!$B$1:$L$16","'アサイメント'!$B$18:$L$30"}</definedName>
    <definedName name="가나다라">'[1]#REF'!#REF!</definedName>
    <definedName name="각방안" localSheetId="0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값" localSheetId="0">'[16]4.6'!#REF!</definedName>
    <definedName name="값" localSheetId="3">'[16]4.6'!#REF!</definedName>
    <definedName name="값">'[16]4.6'!#REF!</definedName>
    <definedName name="강아지" localSheetId="0" hidden="1">{"'사직서'!$A$1:$H$9"}</definedName>
    <definedName name="강아지" localSheetId="3" hidden="1">{"'사직서'!$A$1:$H$9"}</definedName>
    <definedName name="강아지" hidden="1">{"'사직서'!$A$1:$H$9"}</definedName>
    <definedName name="개발시험종합" hidden="1">#REF!</definedName>
    <definedName name="개발일정수정" localSheetId="0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0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건">#N/A</definedName>
    <definedName name="건축토공" localSheetId="0" hidden="1">{#N/A,#N/A,FALSE,"기안지";#N/A,#N/A,FALSE,"통신지"}</definedName>
    <definedName name="건축토공" localSheetId="3" hidden="1">{#N/A,#N/A,FALSE,"기안지";#N/A,#N/A,FALSE,"통신지"}</definedName>
    <definedName name="건축토공" hidden="1">{#N/A,#N/A,FALSE,"기안지";#N/A,#N/A,FALSE,"통신지"}</definedName>
    <definedName name="결과공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결과공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결과공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경경경" localSheetId="0" hidden="1">{#N/A,#N/A,FALSE,"도급대비시행율";#N/A,#N/A,FALSE,"결의서";#N/A,#N/A,FALSE,"내역서";#N/A,#N/A,FALSE,"도급예상"}</definedName>
    <definedName name="경경경경" localSheetId="3" hidden="1">{#N/A,#N/A,FALSE,"도급대비시행율";#N/A,#N/A,FALSE,"결의서";#N/A,#N/A,FALSE,"내역서";#N/A,#N/A,FALSE,"도급예상"}</definedName>
    <definedName name="경경경경" hidden="1">{#N/A,#N/A,FALSE,"도급대비시행율";#N/A,#N/A,FALSE,"결의서";#N/A,#N/A,FALSE,"내역서";#N/A,#N/A,FALSE,"도급예상"}</definedName>
    <definedName name="경비관리비" localSheetId="0" hidden="1">{#N/A,#N/A,FALSE,"단축1";#N/A,#N/A,FALSE,"단축2";#N/A,#N/A,FALSE,"단축3";#N/A,#N/A,FALSE,"장축";#N/A,#N/A,FALSE,"4WD"}</definedName>
    <definedName name="경비관리비" localSheetId="3" hidden="1">{#N/A,#N/A,FALSE,"단축1";#N/A,#N/A,FALSE,"단축2";#N/A,#N/A,FALSE,"단축3";#N/A,#N/A,FALSE,"장축";#N/A,#N/A,FALSE,"4WD"}</definedName>
    <definedName name="경비관리비" hidden="1">{#N/A,#N/A,FALSE,"단축1";#N/A,#N/A,FALSE,"단축2";#N/A,#N/A,FALSE,"단축3";#N/A,#N/A,FALSE,"장축";#N/A,#N/A,FALSE,"4WD"}</definedName>
    <definedName name="경비예산" localSheetId="0" hidden="1">{#N/A,#N/A,FALSE,"단축1";#N/A,#N/A,FALSE,"단축2";#N/A,#N/A,FALSE,"단축3";#N/A,#N/A,FALSE,"장축";#N/A,#N/A,FALSE,"4WD"}</definedName>
    <definedName name="경비예산" localSheetId="3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수" localSheetId="0" hidden="1">{#N/A,#N/A,FALSE,"도급대비시행율";#N/A,#N/A,FALSE,"결의서";#N/A,#N/A,FALSE,"내역서";#N/A,#N/A,FALSE,"도급예상"}</definedName>
    <definedName name="경수" localSheetId="3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전2" localSheetId="0" hidden="1">#REF!</definedName>
    <definedName name="계전2" localSheetId="3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대실적손익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대실적손익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동구토공" localSheetId="0" hidden="1">{#N/A,#N/A,FALSE,"기안지";#N/A,#N/A,FALSE,"통신지"}</definedName>
    <definedName name="공동구토공" localSheetId="3" hidden="1">{#N/A,#N/A,FALSE,"기안지";#N/A,#N/A,FALSE,"통신지"}</definedName>
    <definedName name="공동구토공" hidden="1">{#N/A,#N/A,FALSE,"기안지";#N/A,#N/A,FALSE,"통신지"}</definedName>
    <definedName name="공정불량" localSheetId="0">#REF!</definedName>
    <definedName name="공정불량" localSheetId="3">#REF!</definedName>
    <definedName name="공정불량">#REF!</definedName>
    <definedName name="공정불량2" localSheetId="0">#REF!</definedName>
    <definedName name="공정불량2" localSheetId="3">#REF!</definedName>
    <definedName name="공정불량2">#REF!</definedName>
    <definedName name="구자관" localSheetId="0" hidden="1">{#N/A,#N/A,FALSE,"신청통보";#N/A,#N/A,FALSE,"기성확인서";#N/A,#N/A,FALSE,"기성내역서"}</definedName>
    <definedName name="구자관" localSheetId="3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국가" localSheetId="0">#REF!</definedName>
    <definedName name="국가" localSheetId="3">#REF!</definedName>
    <definedName name="국가">#REF!</definedName>
    <definedName name="굴림" localSheetId="3">#REF!</definedName>
    <definedName name="굴림">#REF!</definedName>
    <definedName name="그라스" localSheetId="3" hidden="1">#REF!</definedName>
    <definedName name="그라스" hidden="1">#REF!</definedName>
    <definedName name="그래프" localSheetId="0">#REF!</definedName>
    <definedName name="그래프">#REF!</definedName>
    <definedName name="그림" localSheetId="0" hidden="1">{"'アサイメント'!$B$1:$L$16","'アサイメント'!$B$18:$L$30"}</definedName>
    <definedName name="그림" localSheetId="3" hidden="1">{"'アサイメント'!$B$1:$L$16","'アサイメント'!$B$18:$L$30"}</definedName>
    <definedName name="그림" hidden="1">{"'アサイメント'!$B$1:$L$16","'アサイメント'!$B$18:$L$30"}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관" localSheetId="0" hidden="1">{#N/A,#N/A,FALSE,"단축1";#N/A,#N/A,FALSE,"단축2";#N/A,#N/A,FALSE,"단축3";#N/A,#N/A,FALSE,"장축";#N/A,#N/A,FALSE,"4WD"}</definedName>
    <definedName name="기관" localSheetId="3" hidden="1">{#N/A,#N/A,FALSE,"단축1";#N/A,#N/A,FALSE,"단축2";#N/A,#N/A,FALSE,"단축3";#N/A,#N/A,FALSE,"장축";#N/A,#N/A,FALSE,"4WD"}</definedName>
    <definedName name="기관" hidden="1">{#N/A,#N/A,FALSE,"단축1";#N/A,#N/A,FALSE,"단축2";#N/A,#N/A,FALSE,"단축3";#N/A,#N/A,FALSE,"장축";#N/A,#N/A,FALSE,"4WD"}</definedName>
    <definedName name="기관예산" localSheetId="0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안갑" localSheetId="0">#REF!</definedName>
    <definedName name="기안갑" localSheetId="3">#REF!</definedName>
    <definedName name="기안갑">#REF!</definedName>
    <definedName name="기안을" localSheetId="3">#REF!</definedName>
    <definedName name="기안을">#REF!</definedName>
    <definedName name="기존LAYOUT" localSheetId="0" hidden="1">{#N/A,#N/A,TRUE,"일정"}</definedName>
    <definedName name="기존LAYOUT" localSheetId="3" hidden="1">{#N/A,#N/A,TRUE,"일정"}</definedName>
    <definedName name="기존LAYOUT" hidden="1">{#N/A,#N/A,TRUE,"일정"}</definedName>
    <definedName name="기획통보경비" localSheetId="0" hidden="1">{#N/A,#N/A,FALSE,"단축1";#N/A,#N/A,FALSE,"단축2";#N/A,#N/A,FALSE,"단축3";#N/A,#N/A,FALSE,"장축";#N/A,#N/A,FALSE,"4WD"}</definedName>
    <definedName name="기획통보경비" localSheetId="3" hidden="1">{#N/A,#N/A,FALSE,"단축1";#N/A,#N/A,FALSE,"단축2";#N/A,#N/A,FALSE,"단축3";#N/A,#N/A,FALSE,"장축";#N/A,#N/A,FALSE,"4WD"}</definedName>
    <definedName name="기획통보경비" hidden="1">{#N/A,#N/A,FALSE,"단축1";#N/A,#N/A,FALSE,"단축2";#N/A,#N/A,FALSE,"단축3";#N/A,#N/A,FALSE,"장축";#N/A,#N/A,FALSE,"4WD"}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localSheetId="3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3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0" hidden="1">{#N/A,#N/A,TRUE,"일정"}</definedName>
    <definedName name="김" localSheetId="3" hidden="1">{#N/A,#N/A,TRUE,"일정"}</definedName>
    <definedName name="김" hidden="1">{#N/A,#N/A,TRUE,"일정"}</definedName>
    <definedName name="김동덕자산IF3" localSheetId="0">#REF!</definedName>
    <definedName name="김동덕자산IF3" localSheetId="3">#REF!</definedName>
    <definedName name="김동덕자산IF3">#REF!</definedName>
    <definedName name="김동덕자산IF5" localSheetId="3">#REF!</definedName>
    <definedName name="김동덕자산IF5">#REF!</definedName>
    <definedName name="김연재" localSheetId="0" hidden="1">{#N/A,#N/A,FALSE,"단축1";#N/A,#N/A,FALSE,"단축2";#N/A,#N/A,FALSE,"단축3";#N/A,#N/A,FALSE,"장축";#N/A,#N/A,FALSE,"4WD"}</definedName>
    <definedName name="김연재" localSheetId="3" hidden="1">{#N/A,#N/A,FALSE,"단축1";#N/A,#N/A,FALSE,"단축2";#N/A,#N/A,FALSE,"단축3";#N/A,#N/A,FALSE,"장축";#N/A,#N/A,FALSE,"4WD"}</definedName>
    <definedName name="김연재" hidden="1">{#N/A,#N/A,FALSE,"단축1";#N/A,#N/A,FALSE,"단축2";#N/A,#N/A,FALSE,"단축3";#N/A,#N/A,FALSE,"장축";#N/A,#N/A,FALSE,"4WD"}</definedName>
    <definedName name="김우성" localSheetId="0">#REF!</definedName>
    <definedName name="김우성" localSheetId="3">#REF!</definedName>
    <definedName name="김우성">#REF!</definedName>
    <definedName name="김황" localSheetId="3" hidden="1">#REF!</definedName>
    <definedName name="김황" hidden="1">#REF!</definedName>
    <definedName name="ㄴ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localSheetId="0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ㅇ" localSheetId="0" hidden="1">{"'アサイメント'!$B$1:$L$16","'アサイメント'!$B$18:$L$30"}</definedName>
    <definedName name="ㄴㄹㄹㅇ" localSheetId="3" hidden="1">{"'アサイメント'!$B$1:$L$16","'アサイメント'!$B$18:$L$30"}</definedName>
    <definedName name="ㄴㄹㄹㅇ" hidden="1">{"'アサイメント'!$B$1:$L$16","'アサイメント'!$B$18:$L$30"}</definedName>
    <definedName name="나라" localSheetId="0">#REF!</definedName>
    <definedName name="나라" localSheetId="3">#REF!</definedName>
    <definedName name="나라">#REF!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{#N/A,#N/A,TRUE,"일정"}</definedName>
    <definedName name="ㄷㄷ" localSheetId="3" hidden="1">{#N/A,#N/A,TRUE,"일정"}</definedName>
    <definedName name="ㄷㄷ" hidden="1">{#N/A,#N/A,TRUE,"일정"}</definedName>
    <definedName name="단가" localSheetId="0" hidden="1">#REF!</definedName>
    <definedName name="단가" localSheetId="3" hidden="1">#REF!</definedName>
    <definedName name="단가" hidden="1">#REF!</definedName>
    <definedName name="단기금융상품" localSheetId="0" hidden="1">#REF!</definedName>
    <definedName name="단기금융상품" localSheetId="3" hidden="1">#REF!</definedName>
    <definedName name="단기금융상품" hidden="1">#REF!</definedName>
    <definedName name="單位阡원_阡￥" localSheetId="0">#REF!</definedName>
    <definedName name="單位阡원_阡￥" localSheetId="3">#REF!</definedName>
    <definedName name="單位阡원_阡￥">#REF!</definedName>
    <definedName name="당일누계" localSheetId="0">#REF!</definedName>
    <definedName name="당일누계">#REF!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부" localSheetId="0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 localSheetId="0">#REF!</definedName>
    <definedName name="대회" localSheetId="3">#REF!</definedName>
    <definedName name="대회">#REF!</definedName>
    <definedName name="독립기초" localSheetId="0" hidden="1">{#N/A,#N/A,FALSE,"기안지";#N/A,#N/A,FALSE,"통신지"}</definedName>
    <definedName name="독립기초" localSheetId="3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localSheetId="3" hidden="1">{#N/A,#N/A,FALSE,"기안지";#N/A,#N/A,FALSE,"통신지"}</definedName>
    <definedName name="독립기초토공수량산출" hidden="1">{#N/A,#N/A,FALSE,"기안지";#N/A,#N/A,FALSE,"통신지"}</definedName>
    <definedName name="동작분석3" localSheetId="0" hidden="1">{#N/A,#N/A,FALSE,"단축1";#N/A,#N/A,FALSE,"단축2";#N/A,#N/A,FALSE,"단축3";#N/A,#N/A,FALSE,"장축";#N/A,#N/A,FALSE,"4WD"}</definedName>
    <definedName name="동작분석3" localSheetId="3" hidden="1">{#N/A,#N/A,FALSE,"단축1";#N/A,#N/A,FALSE,"단축2";#N/A,#N/A,FALSE,"단축3";#N/A,#N/A,FALSE,"장축";#N/A,#N/A,FALSE,"4WD"}</definedName>
    <definedName name="동작분석3" hidden="1">{#N/A,#N/A,FALSE,"단축1";#N/A,#N/A,FALSE,"단축2";#N/A,#N/A,FALSE,"단축3";#N/A,#N/A,FALSE,"장축";#N/A,#N/A,FALSE,"4WD"}</definedName>
    <definedName name="ㄹㄹ" localSheetId="0">#REF!</definedName>
    <definedName name="ㄹㄹ" localSheetId="3">#REF!</definedName>
    <definedName name="ㄹㄹ">#REF!</definedName>
    <definedName name="ㄹㄹㄹㄹㄹㄹㄹ" localSheetId="3">#REF!</definedName>
    <definedName name="ㄹㄹㄹㄹㄹㄹㄹ">#REF!</definedName>
    <definedName name="ㄹㅇ" localSheetId="0" hidden="1">{#N/A,#N/A,FALSE,"도급대비시행율";#N/A,#N/A,FALSE,"결의서";#N/A,#N/A,FALSE,"내역서";#N/A,#N/A,FALSE,"도급예상"}</definedName>
    <definedName name="ㄹㅇ" localSheetId="3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ㄹ">'[1]#REF'!#REF!</definedName>
    <definedName name="ㄹㅇㅀ" localSheetId="0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러" localSheetId="0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헐" localSheetId="0" hidden="1">{#N/A,#N/A,FALSE,"도급대비시행율";#N/A,#N/A,FALSE,"결의서";#N/A,#N/A,FALSE,"내역서";#N/A,#N/A,FALSE,"도급예상"}</definedName>
    <definedName name="러헐" localSheetId="3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레이아웃FRT" localSheetId="0" hidden="1">{#N/A,#N/A,FALSE,"단축1";#N/A,#N/A,FALSE,"단축2";#N/A,#N/A,FALSE,"단축3";#N/A,#N/A,FALSE,"장축";#N/A,#N/A,FALSE,"4WD"}</definedName>
    <definedName name="레이아웃FRT" localSheetId="3" hidden="1">{#N/A,#N/A,FALSE,"단축1";#N/A,#N/A,FALSE,"단축2";#N/A,#N/A,FALSE,"단축3";#N/A,#N/A,FALSE,"장축";#N/A,#N/A,FALSE,"4WD"}</definedName>
    <definedName name="레이아웃FRT" hidden="1">{#N/A,#N/A,FALSE,"단축1";#N/A,#N/A,FALSE,"단축2";#N/A,#N/A,FALSE,"단축3";#N/A,#N/A,FALSE,"장축";#N/A,#N/A,FALSE,"4WD"}</definedName>
    <definedName name="려ㅛ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커커버" localSheetId="0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01" localSheetId="0">#REF!</definedName>
    <definedName name="ㅁ01" localSheetId="3">#REF!</definedName>
    <definedName name="ㅁ01">#REF!</definedName>
    <definedName name="ㅁ1" localSheetId="0">#REF!</definedName>
    <definedName name="ㅁ1" localSheetId="3">#REF!</definedName>
    <definedName name="ㅁ1">#REF!</definedName>
    <definedName name="ㅁㄹㅇ" localSheetId="0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ㅇㄱㅎ" localSheetId="0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0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localSheetId="0" hidden="1">#REF!</definedName>
    <definedName name="ㅁㅈㅂㅈㅂ" localSheetId="3" hidden="1">#REF!</definedName>
    <definedName name="ㅁㅈㅂㅈㅂ" hidden="1">#REF!</definedName>
    <definedName name="마케팅" localSheetId="0" hidden="1">{"'사직서'!$A$1:$H$9"}</definedName>
    <definedName name="마케팅" localSheetId="3" hidden="1">{"'사직서'!$A$1:$H$9"}</definedName>
    <definedName name="마케팅" hidden="1">{"'사직서'!$A$1:$H$9"}</definedName>
    <definedName name="마케팅1" localSheetId="0" hidden="1">{"'사직서'!$A$1:$H$9"}</definedName>
    <definedName name="마케팅1" localSheetId="3" hidden="1">{"'사직서'!$A$1:$H$9"}</definedName>
    <definedName name="마케팅1" hidden="1">{"'사직서'!$A$1:$H$9"}</definedName>
    <definedName name="매출" localSheetId="0" hidden="1">{#N/A,#N/A,TRUE,"일정"}</definedName>
    <definedName name="매출" localSheetId="3" hidden="1">{#N/A,#N/A,TRUE,"일정"}</definedName>
    <definedName name="매출" hidden="1">{#N/A,#N/A,TRUE,"일정"}</definedName>
    <definedName name="매크로10">#N/A</definedName>
    <definedName name="매크로11">#N/A</definedName>
    <definedName name="매크로12">#N/A</definedName>
    <definedName name="매크로123">#N/A</definedName>
    <definedName name="매크로1245">#N/A</definedName>
    <definedName name="매크로13">#N/A</definedName>
    <definedName name="매크로14">#N/A</definedName>
    <definedName name="매크로15">#N/A</definedName>
    <definedName name="매크로16">#N/A</definedName>
    <definedName name="매크로17">#N/A</definedName>
    <definedName name="매크로6">#N/A</definedName>
    <definedName name="매크로7">#N/A</definedName>
    <definedName name="매크로8">#N/A</definedName>
    <definedName name="매크로9">#N/A</definedName>
    <definedName name="메롱" localSheetId="0" hidden="1">#REF!</definedName>
    <definedName name="메롱" localSheetId="3" hidden="1">#REF!</definedName>
    <definedName name="메롱" hidden="1">#REF!</definedName>
    <definedName name="목차" localSheetId="0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" localSheetId="0">#REF!</definedName>
    <definedName name="무" localSheetId="3">#REF!</definedName>
    <definedName name="무">#REF!</definedName>
    <definedName name="물량산출근거조서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산출근거조서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2ㅈㄷ" localSheetId="0">#REF!</definedName>
    <definedName name="ㅂ2ㅈㄷ" localSheetId="3">#REF!</definedName>
    <definedName name="ㅂ2ㅈㄷ">#REF!</definedName>
    <definedName name="ㅂㅂ" localSheetId="0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바로가기" localSheetId="0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발" localSheetId="0">#REF!</definedName>
    <definedName name="발" localSheetId="3">#REF!</definedName>
    <definedName name="발">#REF!</definedName>
    <definedName name="배치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기운">'[1]#REF'!#REF!</definedName>
    <definedName name="범위" localSheetId="0">#REF!</definedName>
    <definedName name="범위" localSheetId="3">#REF!</definedName>
    <definedName name="범위">#REF!</definedName>
    <definedName name="범위2" localSheetId="0">#REF!</definedName>
    <definedName name="범위2" localSheetId="3">#REF!</definedName>
    <definedName name="범위2">#REF!</definedName>
    <definedName name="법인" localSheetId="0" hidden="1">{"'사직서'!$A$1:$H$9"}</definedName>
    <definedName name="법인" localSheetId="3" hidden="1">{"'사직서'!$A$1:$H$9"}</definedName>
    <definedName name="법인" hidden="1">{"'사직서'!$A$1:$H$9"}</definedName>
    <definedName name="변경">#REF!</definedName>
    <definedName name="변경목차" localSheetId="0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정손익" localSheetId="0" hidden="1">{"'사직서'!$A$1:$H$9"}</definedName>
    <definedName name="보정손익" localSheetId="3" hidden="1">{"'사직서'!$A$1:$H$9"}</definedName>
    <definedName name="보정손익" hidden="1">{"'사직서'!$A$1:$H$9"}</definedName>
    <definedName name="보호" localSheetId="0" hidden="1">{#N/A,#N/A,FALSE,"ENG'G(보호계전기)"}</definedName>
    <definedName name="보호" localSheetId="3" hidden="1">{#N/A,#N/A,FALSE,"ENG'G(보호계전기)"}</definedName>
    <definedName name="보호" hidden="1">{#N/A,#N/A,FALSE,"ENG'G(보호계전기)"}</definedName>
    <definedName name="볼트수정" localSheetId="0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" localSheetId="0">#REF!</definedName>
    <definedName name="부서" localSheetId="3">#REF!</definedName>
    <definedName name="부서">#REF!</definedName>
    <definedName name="부서별예산" localSheetId="3">#REF!</definedName>
    <definedName name="부서별예산">#REF!</definedName>
    <definedName name="부자재BOM" localSheetId="0">#REF!</definedName>
    <definedName name="부자재BOM" localSheetId="3">#REF!</definedName>
    <definedName name="부자재BOM">#REF!</definedName>
    <definedName name="부품" localSheetId="0">#REF!</definedName>
    <definedName name="부품">#REF!</definedName>
    <definedName name="부품명" localSheetId="0">#REF!</definedName>
    <definedName name="부품명">#REF!</definedName>
    <definedName name="분기별" localSheetId="0" hidden="1">{#N/A,#N/A,FALSE,"단축1";#N/A,#N/A,FALSE,"단축2";#N/A,#N/A,FALSE,"단축3";#N/A,#N/A,FALSE,"장축";#N/A,#N/A,FALSE,"4WD"}</definedName>
    <definedName name="분기별" localSheetId="3" hidden="1">{#N/A,#N/A,FALSE,"단축1";#N/A,#N/A,FALSE,"단축2";#N/A,#N/A,FALSE,"단축3";#N/A,#N/A,FALSE,"장축";#N/A,#N/A,FALSE,"4WD"}</definedName>
    <definedName name="분기별" hidden="1">{#N/A,#N/A,FALSE,"단축1";#N/A,#N/A,FALSE,"단축2";#N/A,#N/A,FALSE,"단축3";#N/A,#N/A,FALSE,"장축";#N/A,#N/A,FALSE,"4WD"}</definedName>
    <definedName name="불량" localSheetId="0">#REF!</definedName>
    <definedName name="불량" localSheetId="3">#REF!</definedName>
    <definedName name="불량">#REF!</definedName>
    <definedName name="불량명" localSheetId="0">#REF!</definedName>
    <definedName name="불량명" localSheetId="3">#REF!</definedName>
    <definedName name="불량명">#REF!</definedName>
    <definedName name="불량수" localSheetId="0">#REF!</definedName>
    <definedName name="불량수" localSheetId="3">#REF!</definedName>
    <definedName name="불량수">#REF!</definedName>
    <definedName name="비교A">#REF!</definedName>
    <definedName name="ㅅㅅ">#REF!</definedName>
    <definedName name="사무용품비1" localSheetId="0" hidden="1">{#N/A,#N/A,FALSE,"단축1";#N/A,#N/A,FALSE,"단축2";#N/A,#N/A,FALSE,"단축3";#N/A,#N/A,FALSE,"장축";#N/A,#N/A,FALSE,"4WD"}</definedName>
    <definedName name="사무용품비1" localSheetId="3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양접수" localSheetId="0" hidden="1">{#N/A,#N/A,TRUE,"일정"}</definedName>
    <definedName name="사양접수" localSheetId="3" hidden="1">{#N/A,#N/A,TRUE,"일정"}</definedName>
    <definedName name="사양접수" hidden="1">{#N/A,#N/A,TRUE,"일정"}</definedName>
    <definedName name="사양접수2" localSheetId="0" hidden="1">{#N/A,#N/A,TRUE,"일정"}</definedName>
    <definedName name="사양접수2" localSheetId="3" hidden="1">{#N/A,#N/A,TRUE,"일정"}</definedName>
    <definedName name="사양접수2" hidden="1">{#N/A,#N/A,TRUE,"일정"}</definedName>
    <definedName name="새이름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새이름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새이름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생산" localSheetId="0">#REF!</definedName>
    <definedName name="생산" localSheetId="3">#REF!</definedName>
    <definedName name="생산">#REF!</definedName>
    <definedName name="생산공정" localSheetId="0">#REF!</definedName>
    <definedName name="생산공정" localSheetId="3">#REF!</definedName>
    <definedName name="생산공정">#REF!</definedName>
    <definedName name="서비스" localSheetId="0" hidden="1">{"'사직서'!$A$1:$H$9"}</definedName>
    <definedName name="서비스" localSheetId="3" hidden="1">{"'사직서'!$A$1:$H$9"}</definedName>
    <definedName name="서비스" hidden="1">{"'사직서'!$A$1:$H$9"}</definedName>
    <definedName name="서비스사업팀" localSheetId="0" hidden="1">{"'사직서'!$A$1:$H$9"}</definedName>
    <definedName name="서비스사업팀" localSheetId="3" hidden="1">{"'사직서'!$A$1:$H$9"}</definedName>
    <definedName name="서비스사업팀" hidden="1">{"'사직서'!$A$1:$H$9"}</definedName>
    <definedName name="서비스업무" localSheetId="0" hidden="1">{"'사직서'!$A$1:$H$9"}</definedName>
    <definedName name="서비스업무" localSheetId="3" hidden="1">{"'사직서'!$A$1:$H$9"}</definedName>
    <definedName name="서비스업무" hidden="1">{"'사직서'!$A$1:$H$9"}</definedName>
    <definedName name="서비스팀" localSheetId="0" hidden="1">{"'사직서'!$A$1:$H$9"}</definedName>
    <definedName name="서비스팀" localSheetId="3" hidden="1">{"'사직서'!$A$1:$H$9"}</definedName>
    <definedName name="서비스팀" hidden="1">{"'사직서'!$A$1:$H$9"}</definedName>
    <definedName name="셀리카" hidden="1">#REF!</definedName>
    <definedName name="소모푸밉" hidden="1">#REF!</definedName>
    <definedName name="소모품" hidden="1">#REF!</definedName>
    <definedName name="소모품비" hidden="1">#REF!</definedName>
    <definedName name="소모품비1" hidden="1">#REF!</definedName>
    <definedName name="소모품비2" hidden="1">#REF!</definedName>
    <definedName name="소모품비400" hidden="1">#REF!</definedName>
    <definedName name="소뮨" localSheetId="0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비스" localSheetId="0" hidden="1">{"'사직서'!$A$1:$H$9"}</definedName>
    <definedName name="소비스" localSheetId="3" hidden="1">{"'사직서'!$A$1:$H$9"}</definedName>
    <definedName name="소비스" hidden="1">{"'사직서'!$A$1:$H$9"}</definedName>
    <definedName name="소자리스트" localSheetId="0">#REF!</definedName>
    <definedName name="소자리스트">#REF!</definedName>
    <definedName name="손" localSheetId="0" hidden="1">{#N/A,#N/A,TRUE,"일정"}</definedName>
    <definedName name="손" localSheetId="3" hidden="1">{#N/A,#N/A,TRUE,"일정"}</definedName>
    <definedName name="손" hidden="1">{#N/A,#N/A,TRUE,"일정"}</definedName>
    <definedName name="쇼바2" localSheetId="0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선비" localSheetId="0" hidden="1">#REF!</definedName>
    <definedName name="수선비" localSheetId="3" hidden="1">#REF!</definedName>
    <definedName name="수선비" hidden="1">#REF!</definedName>
    <definedName name="수선비3" localSheetId="3" hidden="1">#REF!</definedName>
    <definedName name="수선비3" hidden="1">#REF!</definedName>
    <definedName name="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작팀" localSheetId="0" hidden="1">{#N/A,#N/A,FALSE,"단축1";#N/A,#N/A,FALSE,"단축2";#N/A,#N/A,FALSE,"단축3";#N/A,#N/A,FALSE,"장축";#N/A,#N/A,FALSE,"4WD"}</definedName>
    <definedName name="시작팀" localSheetId="3" hidden="1">{#N/A,#N/A,FALSE,"단축1";#N/A,#N/A,FALSE,"단축2";#N/A,#N/A,FALSE,"단축3";#N/A,#N/A,FALSE,"장축";#N/A,#N/A,FALSE,"4WD"}</definedName>
    <definedName name="시작팀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뢰">#N/A</definedName>
    <definedName name="신뢰성">#N/A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localSheetId="0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0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localSheetId="0">#REF!</definedName>
    <definedName name="ㅇ" localSheetId="3">#REF!</definedName>
    <definedName name="ㅇ">#REF!</definedName>
    <definedName name="ㅇㄴㅇㅁ" localSheetId="0" hidden="1">{#N/A,#N/A,FALSE,"단축1";#N/A,#N/A,FALSE,"단축2";#N/A,#N/A,FALSE,"단축3";#N/A,#N/A,FALSE,"장축";#N/A,#N/A,FALSE,"4WD"}</definedName>
    <definedName name="ㅇㄴㅇㅁ" localSheetId="3" hidden="1">{#N/A,#N/A,FALSE,"단축1";#N/A,#N/A,FALSE,"단축2";#N/A,#N/A,FALSE,"단축3";#N/A,#N/A,FALSE,"장축";#N/A,#N/A,FALSE,"4WD"}</definedName>
    <definedName name="ㅇㄴㅇㅁ" hidden="1">{#N/A,#N/A,FALSE,"단축1";#N/A,#N/A,FALSE,"단축2";#N/A,#N/A,FALSE,"단축3";#N/A,#N/A,FALSE,"장축";#N/A,#N/A,FALSE,"4WD"}</definedName>
    <definedName name="ㅇ니ㅏ러나" localSheetId="0" hidden="1">{#N/A,#N/A,TRUE,"일정"}</definedName>
    <definedName name="ㅇ니ㅏ러나" localSheetId="3" hidden="1">{#N/A,#N/A,TRUE,"일정"}</definedName>
    <definedName name="ㅇ니ㅏ러나" hidden="1">{#N/A,#N/A,TRUE,"일정"}</definedName>
    <definedName name="ㅇㄹ" localSheetId="0" hidden="1">{#N/A,#N/A,FALSE,"단축1";#N/A,#N/A,FALSE,"단축2";#N/A,#N/A,FALSE,"단축3";#N/A,#N/A,FALSE,"장축";#N/A,#N/A,FALSE,"4WD"}</definedName>
    <definedName name="ㅇㄹ" localSheetId="3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ㅇㄹㄴㅇㄹ" localSheetId="0" hidden="1">{"'アサイメント'!$B$1:$L$16","'アサイメント'!$B$18:$L$30"}</definedName>
    <definedName name="ㅇㄹㄴㅇㄹㄴㅇㄹ" localSheetId="3" hidden="1">{"'アサイメント'!$B$1:$L$16","'アサイメント'!$B$18:$L$30"}</definedName>
    <definedName name="ㅇㄹㄴㅇㄹㄴㅇㄹ" hidden="1">{"'アサイメント'!$B$1:$L$16","'アサイメント'!$B$18:$L$30"}</definedName>
    <definedName name="ㅇㄹㄹ" localSheetId="0" hidden="1">#REF!</definedName>
    <definedName name="ㅇㄹㄹ" localSheetId="3" hidden="1">#REF!</definedName>
    <definedName name="ㅇㄹㄹ" hidden="1">#REF!</definedName>
    <definedName name="ㅇㄹㅇㄹ" localSheetId="0" hidden="1">{#N/A,#N/A,FALSE,"단축1";#N/A,#N/A,FALSE,"단축2";#N/A,#N/A,FALSE,"단축3";#N/A,#N/A,FALSE,"장축";#N/A,#N/A,FALSE,"4WD"}</definedName>
    <definedName name="ㅇㄹㅇㄹ" localSheetId="3" hidden="1">{#N/A,#N/A,FALSE,"단축1";#N/A,#N/A,FALSE,"단축2";#N/A,#N/A,FALSE,"단축3";#N/A,#N/A,FALSE,"장축";#N/A,#N/A,FALSE,"4WD"}</definedName>
    <definedName name="ㅇㄹㅇㄹ" hidden="1">{#N/A,#N/A,FALSE,"단축1";#N/A,#N/A,FALSE,"단축2";#N/A,#N/A,FALSE,"단축3";#N/A,#N/A,FALSE,"장축";#N/A,#N/A,FALSE,"4WD"}</definedName>
    <definedName name="ㅇ롱" localSheetId="0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localSheetId="0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0" hidden="1">{"'アサイメント'!$B$1:$L$16","'アサイメント'!$B$18:$L$30"}</definedName>
    <definedName name="ㅇㅇㅇㅇ" localSheetId="3" hidden="1">{"'アサイメント'!$B$1:$L$16","'アサイメント'!$B$18:$L$30"}</definedName>
    <definedName name="ㅇㅇㅇㅇ" hidden="1">{"'アサイメント'!$B$1:$L$16","'アサイメント'!$B$18:$L$30"}</definedName>
    <definedName name="ㅇㅇㅇㅇㅇ" localSheetId="0" hidden="1">{#N/A,#N/A,FALSE,"단축1";#N/A,#N/A,FALSE,"단축2";#N/A,#N/A,FALSE,"단축3";#N/A,#N/A,FALSE,"장축";#N/A,#N/A,FALSE,"4WD"}</definedName>
    <definedName name="ㅇㅇㅇㅇㅇ" localSheetId="3" hidden="1">{#N/A,#N/A,FALSE,"단축1";#N/A,#N/A,FALSE,"단축2";#N/A,#N/A,FALSE,"단축3";#N/A,#N/A,FALSE,"장축";#N/A,#N/A,FALSE,"4WD"}</definedName>
    <definedName name="ㅇㅇㅇㅇㅇ" hidden="1">{#N/A,#N/A,FALSE,"단축1";#N/A,#N/A,FALSE,"단축2";#N/A,#N/A,FALSE,"단축3";#N/A,#N/A,FALSE,"장축";#N/A,#N/A,FALSE,"4WD"}</definedName>
    <definedName name="ㅇㅎㄹ" localSheetId="0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아니요" localSheetId="0" hidden="1">#REF!</definedName>
    <definedName name="아니요" localSheetId="3" hidden="1">#REF!</definedName>
    <definedName name="아니요" hidden="1">#REF!</definedName>
    <definedName name="안현모" localSheetId="0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localSheetId="0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0" hidden="1">{#N/A,#N/A,FALSE,"단축1";#N/A,#N/A,FALSE,"단축2";#N/A,#N/A,FALSE,"단축3";#N/A,#N/A,FALSE,"장축";#N/A,#N/A,FALSE,"4WD"}</definedName>
    <definedName name="양식1" localSheetId="3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얼라" localSheetId="0">#REF!</definedName>
    <definedName name="얼라" localSheetId="3">#REF!</definedName>
    <definedName name="얼라">#REF!</definedName>
    <definedName name="얼라리" localSheetId="0">#REF!</definedName>
    <definedName name="얼라리" localSheetId="3">#REF!</definedName>
    <definedName name="얼라리">#REF!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3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체" localSheetId="0">#REF!</definedName>
    <definedName name="업체" localSheetId="3">#REF!</definedName>
    <definedName name="업체">#REF!</definedName>
    <definedName name="연" localSheetId="0" hidden="1">{#N/A,#N/A,FALSE,"단축1";#N/A,#N/A,FALSE,"단축2";#N/A,#N/A,FALSE,"단축3";#N/A,#N/A,FALSE,"장축";#N/A,#N/A,FALSE,"4WD"}</definedName>
    <definedName name="연" localSheetId="3" hidden="1">{#N/A,#N/A,FALSE,"단축1";#N/A,#N/A,FALSE,"단축2";#N/A,#N/A,FALSE,"단축3";#N/A,#N/A,FALSE,"장축";#N/A,#N/A,FALSE,"4WD"}</definedName>
    <definedName name="연" hidden="1">{#N/A,#N/A,FALSE,"단축1";#N/A,#N/A,FALSE,"단축2";#N/A,#N/A,FALSE,"단축3";#N/A,#N/A,FALSE,"장축";#N/A,#N/A,FALSE,"4WD"}</definedName>
    <definedName name="연습" localSheetId="0" hidden="1">{#N/A,#N/A,FALSE,"단축1";#N/A,#N/A,FALSE,"단축2";#N/A,#N/A,FALSE,"단축3";#N/A,#N/A,FALSE,"장축";#N/A,#N/A,FALSE,"4WD"}</definedName>
    <definedName name="연습" localSheetId="3" hidden="1">{#N/A,#N/A,FALSE,"단축1";#N/A,#N/A,FALSE,"단축2";#N/A,#N/A,FALSE,"단축3";#N/A,#N/A,FALSE,"장축";#N/A,#N/A,FALSE,"4WD"}</definedName>
    <definedName name="연습" hidden="1">{#N/A,#N/A,FALSE,"단축1";#N/A,#N/A,FALSE,"단축2";#N/A,#N/A,FALSE,"단축3";#N/A,#N/A,FALSE,"장축";#N/A,#N/A,FALSE,"4WD"}</definedName>
    <definedName name="예금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산" localSheetId="0" hidden="1">{#N/A,#N/A,FALSE,"단축1";#N/A,#N/A,FALSE,"단축2";#N/A,#N/A,FALSE,"단축3";#N/A,#N/A,FALSE,"장축";#N/A,#N/A,FALSE,"4WD"}</definedName>
    <definedName name="예산" localSheetId="3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계획1" localSheetId="0" hidden="1">{#N/A,#N/A,FALSE,"단축1";#N/A,#N/A,FALSE,"단축2";#N/A,#N/A,FALSE,"단축3";#N/A,#N/A,FALSE,"장축";#N/A,#N/A,FALSE,"4WD"}</definedName>
    <definedName name="예산계획1" localSheetId="3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예산총괄시트설ONLY" localSheetId="0">#REF!</definedName>
    <definedName name="예산총괄시트설ONLY" localSheetId="3">#REF!</definedName>
    <definedName name="예산총괄시트설ONLY">#REF!</definedName>
    <definedName name="오" localSheetId="0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수토공" localSheetId="0" hidden="1">{#N/A,#N/A,FALSE,"기안지";#N/A,#N/A,FALSE,"통신지"}</definedName>
    <definedName name="오수토공" localSheetId="3" hidden="1">{#N/A,#N/A,FALSE,"기안지";#N/A,#N/A,FALSE,"통신지"}</definedName>
    <definedName name="오수토공" hidden="1">{#N/A,#N/A,FALSE,"기안지";#N/A,#N/A,FALSE,"통신지"}</definedName>
    <definedName name="우선순위" localSheetId="0">#REF!</definedName>
    <definedName name="우선순위" localSheetId="3">#REF!</definedName>
    <definedName name="우선순위">#REF!</definedName>
    <definedName name="원인" localSheetId="0">#REF!</definedName>
    <definedName name="원인" localSheetId="3">#REF!</definedName>
    <definedName name="원인">#REF!</definedName>
    <definedName name="월간" localSheetId="0">#REF!</definedName>
    <definedName name="월간" localSheetId="3">#REF!</definedName>
    <definedName name="월간">#REF!</definedName>
    <definedName name="유용상" localSheetId="3">'[21]#REF'!#REF!</definedName>
    <definedName name="유용상">'[21]#REF'!#REF!</definedName>
    <definedName name="을" localSheetId="0" hidden="1">{#N/A,#N/A,FALSE,"도급대비시행율";#N/A,#N/A,FALSE,"결의서";#N/A,#N/A,FALSE,"내역서";#N/A,#N/A,FALSE,"도급예상"}</definedName>
    <definedName name="을" localSheetId="3" hidden="1">{#N/A,#N/A,FALSE,"도급대비시행율";#N/A,#N/A,FALSE,"결의서";#N/A,#N/A,FALSE,"내역서";#N/A,#N/A,FALSE,"도급예상"}</definedName>
    <definedName name="을" hidden="1">{#N/A,#N/A,FALSE,"도급대비시행율";#N/A,#N/A,FALSE,"결의서";#N/A,#N/A,FALSE,"내역서";#N/A,#N/A,FALSE,"도급예상"}</definedName>
    <definedName name="이게뭐야" localSheetId="0">#REF!</definedName>
    <definedName name="이게뭐야" localSheetId="3">#REF!</definedName>
    <definedName name="이게뭐야">#REF!</definedName>
    <definedName name="이동" localSheetId="3">#REF!</definedName>
    <definedName name="이동">#REF!</definedName>
    <definedName name="이송희" localSheetId="0">#REF!</definedName>
    <definedName name="이송희" localSheetId="3">#REF!</definedName>
    <definedName name="이송희">#REF!</definedName>
    <definedName name="이진영" localSheetId="0">#REF!</definedName>
    <definedName name="이진영">#REF!</definedName>
    <definedName name="이진영1" localSheetId="0">#REF!</definedName>
    <definedName name="이진영1">#REF!</definedName>
    <definedName name="이천순복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혁준" localSheetId="0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일누계" localSheetId="0">#REF!</definedName>
    <definedName name="일일누계" localSheetId="3">#REF!</definedName>
    <definedName name="일일누계">#REF!</definedName>
    <definedName name="일일일계" localSheetId="0">#REF!</definedName>
    <definedName name="일일일계" localSheetId="3">#REF!</definedName>
    <definedName name="일일일계">#REF!</definedName>
    <definedName name="입고수" localSheetId="0">#REF!</definedName>
    <definedName name="입고수" localSheetId="3">#REF!</definedName>
    <definedName name="입고수">#REF!</definedName>
    <definedName name="입고수2" localSheetId="0">#REF!</definedName>
    <definedName name="입고수2">#REF!</definedName>
    <definedName name="ㅈㄹ" localSheetId="0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ㅈ" localSheetId="0" hidden="1">#REF!</definedName>
    <definedName name="ㅈㅈㅈ" localSheetId="3" hidden="1">#REF!</definedName>
    <definedName name="ㅈㅈㅈ" hidden="1">#REF!</definedName>
    <definedName name="자금수지" localSheetId="3" hidden="1">#REF!</definedName>
    <definedName name="자금수지" hidden="1">#REF!</definedName>
    <definedName name="장기금융상품" localSheetId="3" hidden="1">#REF!</definedName>
    <definedName name="장기금융상품" hidden="1">#REF!</definedName>
    <definedName name="재료예산" localSheetId="0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기내역" localSheetId="0" hidden="1">{#N/A,#N/A,FALSE,"CCTV"}</definedName>
    <definedName name="전기내역" localSheetId="3" hidden="1">{#N/A,#N/A,FALSE,"CCTV"}</definedName>
    <definedName name="전기내역" hidden="1">{#N/A,#N/A,FALSE,"CCTV"}</definedName>
    <definedName name="전기요금2" localSheetId="0">#REF!</definedName>
    <definedName name="전기요금2" localSheetId="3">#REF!</definedName>
    <definedName name="전기요금2">#REF!</definedName>
    <definedName name="전등설비" localSheetId="0" hidden="1">{#N/A,#N/A,FALSE,"CCTV"}</definedName>
    <definedName name="전등설비" localSheetId="3" hidden="1">{#N/A,#N/A,FALSE,"CCTV"}</definedName>
    <definedName name="전등설비" hidden="1">{#N/A,#N/A,FALSE,"CCTV"}</definedName>
    <definedName name="전체현황" localSheetId="0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규분포표" localSheetId="0">[16]표준정규분포표!$A$2:$K$42</definedName>
    <definedName name="정규분포표" localSheetId="3">[16]표준정규분포표!$A$2:$K$42</definedName>
    <definedName name="정규분포표">[16]표준정규분포표!$A$2:$K$42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0">#REF!</definedName>
    <definedName name="제목" localSheetId="3">#REF!</definedName>
    <definedName name="제목">#REF!</definedName>
    <definedName name="제품설계예산" localSheetId="0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조사" localSheetId="0">#REF!</definedName>
    <definedName name="조사" localSheetId="3">#REF!</definedName>
    <definedName name="조사">#REF!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간" localSheetId="0">#REF!</definedName>
    <definedName name="주간" localSheetId="3">#REF!</definedName>
    <definedName name="주간">#REF!</definedName>
    <definedName name="주간이" localSheetId="0">#REF!</definedName>
    <definedName name="주간이" localSheetId="3">#REF!</definedName>
    <definedName name="주간이">#REF!</definedName>
    <definedName name="주요자재" localSheetId="0">#REF!</definedName>
    <definedName name="주요자재" localSheetId="3">#REF!</definedName>
    <definedName name="주요자재">#REF!</definedName>
    <definedName name="주정관" localSheetId="0" hidden="1">{#N/A,#N/A,TRUE,"일정"}</definedName>
    <definedName name="주정관" localSheetId="3" hidden="1">{#N/A,#N/A,TRUE,"일정"}</definedName>
    <definedName name="주정관" hidden="1">{#N/A,#N/A,TRUE,"일정"}</definedName>
    <definedName name="중복모두">[22]삼덕!$J$5</definedName>
    <definedName name="지그">#N/A</definedName>
    <definedName name="지역" localSheetId="0">#REF!</definedName>
    <definedName name="지역" localSheetId="3">#REF!</definedName>
    <definedName name="지역">#REF!</definedName>
    <definedName name="진행율" localSheetId="3">#REF!</definedName>
    <definedName name="진행율">#REF!</definedName>
    <definedName name="ㅊㅊ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참고사항" localSheetId="0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">[23]list!#REF!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ㅇㅍ" localSheetId="0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크랑" localSheetId="0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ㅌㅌ" localSheetId="0" hidden="1">{#N/A,#N/A,TRUE,"일정"}</definedName>
    <definedName name="ㅌㅌ" localSheetId="3" hidden="1">{#N/A,#N/A,TRUE,"일정"}</definedName>
    <definedName name="ㅌㅌ" hidden="1">{#N/A,#N/A,TRUE,"일정"}</definedName>
    <definedName name="ㅌㅍㅊㅇㅌㅎ" localSheetId="0" hidden="1">{#N/A,#N/A,FALSE,"도급대비시행율";#N/A,#N/A,FALSE,"결의서";#N/A,#N/A,FALSE,"내역서";#N/A,#N/A,FALSE,"도급예상"}</definedName>
    <definedName name="ㅌㅍㅊㅇㅌㅎ" localSheetId="3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테스트">'[1]#REF'!#REF!</definedName>
    <definedName name="통합1장" localSheetId="0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0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" localSheetId="0" hidden="1">{#N/A,#N/A,FALSE,"단축1";#N/A,#N/A,FALSE,"단축2";#N/A,#N/A,FALSE,"단축3";#N/A,#N/A,FALSE,"장축";#N/A,#N/A,FALSE,"4WD"}</definedName>
    <definedName name="투자비" localSheetId="3" hidden="1">{#N/A,#N/A,FALSE,"단축1";#N/A,#N/A,FALSE,"단축2";#N/A,#N/A,FALSE,"단축3";#N/A,#N/A,FALSE,"장축";#N/A,#N/A,FALSE,"4WD"}</definedName>
    <definedName name="투자비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예산2" localSheetId="0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1" localSheetId="0">#REF!</definedName>
    <definedName name="표1" localSheetId="3">#REF!</definedName>
    <definedName name="표1">#REF!</definedName>
    <definedName name="표2" localSheetId="3">#REF!</definedName>
    <definedName name="표2">#REF!</definedName>
    <definedName name="표지" localSheetId="3" hidden="1">#REF!</definedName>
    <definedName name="표지" hidden="1">#REF!</definedName>
    <definedName name="표지1" localSheetId="0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표지2" localSheetId="0" hidden="1">#REF!</definedName>
    <definedName name="표지2" localSheetId="3" hidden="1">#REF!</definedName>
    <definedName name="표지2" hidden="1">#REF!</definedName>
    <definedName name="푱" localSheetId="0" hidden="1">{#N/A,#N/A,FALSE,"제목"}</definedName>
    <definedName name="푱" localSheetId="3" hidden="1">{#N/A,#N/A,FALSE,"제목"}</definedName>
    <definedName name="푱" hidden="1">{#N/A,#N/A,FALSE,"제목"}</definedName>
    <definedName name="품목별" localSheetId="0" hidden="1">{"'사직서'!$A$1:$H$9"}</definedName>
    <definedName name="품목별" localSheetId="3" hidden="1">{"'사직서'!$A$1:$H$9"}</definedName>
    <definedName name="품목별" hidden="1">{"'사직서'!$A$1:$H$9"}</definedName>
    <definedName name="품확" localSheetId="0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0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ㄹ오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호ㅓㅓㅗ" localSheetId="0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解_任_">[8]기안!$A$34</definedName>
    <definedName name="해외출장비_Depo" localSheetId="0" hidden="1">#REF!</definedName>
    <definedName name="해외출장비_Depo" localSheetId="3" hidden="1">#REF!</definedName>
    <definedName name="해외출장비_Depo" hidden="1">#REF!</definedName>
    <definedName name="현장" localSheetId="3" hidden="1">#REF!</definedName>
    <definedName name="현장" hidden="1">#REF!</definedName>
    <definedName name="훈민1" localSheetId="0">#REF!</definedName>
    <definedName name="훈민1" localSheetId="3">#REF!</definedName>
    <definedName name="훈민1">#REF!</definedName>
    <definedName name="훈민2" localSheetId="0">#REF!</definedName>
    <definedName name="훈민2">#REF!</definedName>
    <definedName name="ㅏ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localSheetId="3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ㅣㅣㅣ" localSheetId="0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" localSheetId="0">#REF!</definedName>
    <definedName name="ㅕㅕ" localSheetId="3">#REF!</definedName>
    <definedName name="ㅕㅕ">#REF!</definedName>
    <definedName name="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ㅜㅜㅜ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ㅍㅇㅌㄹ" localSheetId="0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</definedNames>
  <calcPr calcId="162913"/>
</workbook>
</file>

<file path=xl/calcChain.xml><?xml version="1.0" encoding="utf-8"?>
<calcChain xmlns="http://schemas.openxmlformats.org/spreadsheetml/2006/main">
  <c r="K27" i="4" l="1"/>
  <c r="D27" i="4"/>
  <c r="E27" i="4"/>
  <c r="F27" i="4"/>
  <c r="G27" i="4"/>
  <c r="H27" i="4"/>
  <c r="I27" i="4"/>
  <c r="J27" i="4"/>
  <c r="C27" i="4"/>
  <c r="J23" i="5" l="1"/>
  <c r="J5" i="5"/>
  <c r="J4" i="5"/>
  <c r="N42" i="4"/>
  <c r="A32" i="4"/>
  <c r="A31" i="4"/>
  <c r="A30" i="4"/>
  <c r="B29" i="4"/>
  <c r="A29" i="4"/>
  <c r="M27" i="4"/>
  <c r="M42" i="4" s="1"/>
  <c r="H23" i="5"/>
  <c r="G23" i="5"/>
  <c r="F23" i="5"/>
  <c r="E23" i="5"/>
  <c r="D23" i="5"/>
  <c r="C23" i="5"/>
  <c r="B23" i="5"/>
  <c r="E24" i="4"/>
  <c r="M7" i="4"/>
  <c r="B50" i="4" l="1"/>
  <c r="C20" i="5"/>
  <c r="K42" i="4"/>
  <c r="I23" i="5"/>
  <c r="H6" i="3"/>
  <c r="P27" i="4" s="1"/>
  <c r="P42" i="4" s="1"/>
  <c r="G6" i="3"/>
  <c r="O27" i="4" s="1"/>
  <c r="O42" i="4" s="1"/>
  <c r="F6" i="3"/>
  <c r="K23" i="5" l="1"/>
  <c r="K24" i="5" s="1"/>
  <c r="L24" i="5" s="1"/>
  <c r="I24" i="5"/>
</calcChain>
</file>

<file path=xl/comments1.xml><?xml version="1.0" encoding="utf-8"?>
<comments xmlns="http://schemas.openxmlformats.org/spreadsheetml/2006/main">
  <authors>
    <author>이유경(Luna Lee)</author>
  </authors>
  <commentList>
    <comment ref="F5" authorId="0" shapeId="0">
      <text>
        <r>
          <rPr>
            <b/>
            <sz val="9"/>
            <color indexed="81"/>
            <rFont val="돋움"/>
            <family val="3"/>
            <charset val="129"/>
          </rPr>
          <t>무역팀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5" authorId="0" shapeId="0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모델명과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<sst xmlns="http://schemas.openxmlformats.org/spreadsheetml/2006/main" count="161" uniqueCount="157">
  <si>
    <t>NO.</t>
  </si>
  <si>
    <t>HS CODE</t>
  </si>
  <si>
    <t>ITEM PICTURE
설비 사진</t>
    <phoneticPr fontId="3" type="noConversion"/>
  </si>
  <si>
    <t>NAME PLATE PICTURE
명판 사진</t>
    <phoneticPr fontId="3" type="noConversion"/>
  </si>
  <si>
    <t>ITEM NAME (KOR)
품명 (국문)</t>
    <phoneticPr fontId="3" type="noConversion"/>
  </si>
  <si>
    <t>ITEM NAME (ENG)
품명 (영문)</t>
    <phoneticPr fontId="3" type="noConversion"/>
  </si>
  <si>
    <t>MODEL NO.
모델넘버</t>
  </si>
  <si>
    <t>MODEL NO.
모델넘버</t>
    <phoneticPr fontId="3" type="noConversion"/>
  </si>
  <si>
    <t>SERIAL NO.
시리얼 넘버</t>
  </si>
  <si>
    <t>SERIAL NO.
시리얼 넘버</t>
    <phoneticPr fontId="3" type="noConversion"/>
  </si>
  <si>
    <t>MANUFACTURER
제조사</t>
    <phoneticPr fontId="3" type="noConversion"/>
  </si>
  <si>
    <t xml:space="preserve"> </t>
  </si>
  <si>
    <t>SPECIFICATION
규격(1SET)</t>
    <phoneticPr fontId="3" type="noConversion"/>
  </si>
  <si>
    <t>WIDTH
(MM)</t>
    <phoneticPr fontId="3" type="noConversion"/>
  </si>
  <si>
    <t>LENGTH
(MM)</t>
    <phoneticPr fontId="3" type="noConversion"/>
  </si>
  <si>
    <t>HEIGHT
(MM)</t>
    <phoneticPr fontId="3" type="noConversion"/>
  </si>
  <si>
    <t>WEIGHT
(KG)</t>
    <phoneticPr fontId="3" type="noConversion"/>
  </si>
  <si>
    <t>SERVICE
VOLTAGE
사용전압</t>
    <phoneticPr fontId="3" type="noConversion"/>
  </si>
  <si>
    <t>POWER
전력
(1SET)</t>
    <phoneticPr fontId="3" type="noConversion"/>
  </si>
  <si>
    <t>QUANTITY
수량</t>
    <phoneticPr fontId="3" type="noConversion"/>
  </si>
  <si>
    <t>NEW/USED
신품/중고</t>
    <phoneticPr fontId="3" type="noConversion"/>
  </si>
  <si>
    <t>P.I.C.
담당자</t>
    <phoneticPr fontId="3" type="noConversion"/>
  </si>
  <si>
    <t>REMARK
비고</t>
    <phoneticPr fontId="3" type="noConversion"/>
  </si>
  <si>
    <t>PRODUCTION YEAR
생산연도</t>
    <phoneticPr fontId="3" type="noConversion"/>
  </si>
  <si>
    <r>
      <rPr>
        <b/>
        <sz val="11"/>
        <color rgb="FFFF0000"/>
        <rFont val="나눔명조"/>
        <family val="1"/>
        <charset val="129"/>
      </rPr>
      <t>▶▶▶</t>
    </r>
    <r>
      <rPr>
        <b/>
        <sz val="11"/>
        <color rgb="FFFF0000"/>
        <rFont val="맑은 고딕"/>
        <family val="2"/>
        <charset val="129"/>
      </rPr>
      <t xml:space="preserve"> </t>
    </r>
    <r>
      <rPr>
        <b/>
        <sz val="11"/>
        <color rgb="FFFF0000"/>
        <rFont val="맑은 고딕"/>
        <family val="2"/>
        <charset val="129"/>
        <scheme val="minor"/>
      </rPr>
      <t>영문작성 필수</t>
    </r>
    <phoneticPr fontId="3" type="noConversion"/>
  </si>
  <si>
    <t>COUNTRY OF ORIGIN
원산지</t>
    <phoneticPr fontId="3" type="noConversion"/>
  </si>
  <si>
    <t>PURPOSE
목적</t>
    <phoneticPr fontId="3" type="noConversion"/>
  </si>
  <si>
    <t>NET WEIGHT</t>
    <phoneticPr fontId="3" type="noConversion"/>
  </si>
  <si>
    <t>GROSS WEIGHT</t>
    <phoneticPr fontId="3" type="noConversion"/>
  </si>
  <si>
    <t>Packing Details</t>
    <phoneticPr fontId="3" type="noConversion"/>
  </si>
  <si>
    <t>항공/해상</t>
    <phoneticPr fontId="3" type="noConversion"/>
  </si>
  <si>
    <t>사업부</t>
    <phoneticPr fontId="3" type="noConversion"/>
  </si>
  <si>
    <t>프로젝트</t>
    <phoneticPr fontId="3" type="noConversion"/>
  </si>
  <si>
    <t>항공일 경우 사유</t>
    <phoneticPr fontId="3" type="noConversion"/>
  </si>
  <si>
    <t>출하 가능일자</t>
    <phoneticPr fontId="3" type="noConversion"/>
  </si>
  <si>
    <t>도착 필요일자</t>
    <phoneticPr fontId="3" type="noConversion"/>
  </si>
  <si>
    <t>TOTAL</t>
    <phoneticPr fontId="3" type="noConversion"/>
  </si>
  <si>
    <t>NFC ANT</t>
    <phoneticPr fontId="3" type="noConversion"/>
  </si>
  <si>
    <t>PACKING PICTURE
포장사진 (포장 전 현물 / 포장진행 / 포장완료 사진)</t>
    <phoneticPr fontId="3" type="noConversion"/>
  </si>
  <si>
    <t>NEW</t>
    <phoneticPr fontId="3" type="noConversion"/>
  </si>
  <si>
    <t>KOREA</t>
    <phoneticPr fontId="3" type="noConversion"/>
  </si>
  <si>
    <t>이석인</t>
    <phoneticPr fontId="3" type="noConversion"/>
  </si>
  <si>
    <t>GVD-45E</t>
    <phoneticPr fontId="3" type="noConversion"/>
  </si>
  <si>
    <t>전원 맟 에어 설치 후 가동</t>
    <phoneticPr fontId="3" type="noConversion"/>
  </si>
  <si>
    <t>1. main power, air Installation
2. start</t>
    <phoneticPr fontId="3" type="noConversion"/>
  </si>
  <si>
    <t>1</t>
    <phoneticPr fontId="3" type="noConversion"/>
  </si>
  <si>
    <t>E19081403</t>
    <phoneticPr fontId="3" type="noConversion"/>
  </si>
  <si>
    <t>COMMERCIAL INVOICE AND PACKING LIST</t>
    <phoneticPr fontId="85" type="noConversion"/>
  </si>
  <si>
    <r>
      <rPr>
        <b/>
        <sz val="9"/>
        <color indexed="12"/>
        <rFont val="돋움"/>
        <family val="3"/>
        <charset val="129"/>
      </rPr>
      <t>①</t>
    </r>
    <r>
      <rPr>
        <b/>
        <sz val="9"/>
        <color indexed="12"/>
        <rFont val="Arial"/>
        <family val="2"/>
      </rPr>
      <t xml:space="preserve"> SHIPPER / EXPORTER</t>
    </r>
    <phoneticPr fontId="85" type="noConversion"/>
  </si>
  <si>
    <r>
      <rPr>
        <b/>
        <sz val="9"/>
        <color indexed="12"/>
        <rFont val="돋움"/>
        <family val="3"/>
        <charset val="129"/>
      </rPr>
      <t>⑧</t>
    </r>
    <r>
      <rPr>
        <b/>
        <sz val="9"/>
        <color indexed="12"/>
        <rFont val="Arial"/>
        <family val="2"/>
      </rPr>
      <t xml:space="preserve"> NO. &amp; DATE OF INVOICE</t>
    </r>
    <phoneticPr fontId="85" type="noConversion"/>
  </si>
  <si>
    <t>AMOTECH CO., LTD.</t>
  </si>
  <si>
    <t>1 LOT. 5BLOCK NAMDONG-GONGDAN</t>
    <phoneticPr fontId="3" type="noConversion"/>
  </si>
  <si>
    <r>
      <rPr>
        <b/>
        <sz val="9"/>
        <color indexed="12"/>
        <rFont val="돋움"/>
        <family val="3"/>
        <charset val="129"/>
      </rPr>
      <t>⑨</t>
    </r>
    <r>
      <rPr>
        <b/>
        <sz val="9"/>
        <color indexed="12"/>
        <rFont val="Arial"/>
        <family val="2"/>
      </rPr>
      <t xml:space="preserve"> PAYMENT TERMS</t>
    </r>
    <phoneticPr fontId="85" type="noConversion"/>
  </si>
  <si>
    <t>617 NAMCHON DONG, NAMDONG-GU</t>
    <phoneticPr fontId="3" type="noConversion"/>
  </si>
  <si>
    <t>INCHEON CITY, KOREA</t>
    <phoneticPr fontId="3" type="noConversion"/>
  </si>
  <si>
    <r>
      <rPr>
        <b/>
        <sz val="9"/>
        <color indexed="12"/>
        <rFont val="돋움"/>
        <family val="3"/>
        <charset val="129"/>
      </rPr>
      <t>⑩</t>
    </r>
    <r>
      <rPr>
        <b/>
        <sz val="9"/>
        <color indexed="12"/>
        <rFont val="Arial"/>
        <family val="2"/>
      </rPr>
      <t xml:space="preserve"> DELIVERY TERMS</t>
    </r>
    <phoneticPr fontId="85" type="noConversion"/>
  </si>
  <si>
    <t>CIF</t>
    <phoneticPr fontId="3" type="noConversion"/>
  </si>
  <si>
    <r>
      <rPr>
        <b/>
        <sz val="9"/>
        <color indexed="12"/>
        <rFont val="돋움"/>
        <family val="3"/>
        <charset val="129"/>
      </rPr>
      <t>②</t>
    </r>
    <r>
      <rPr>
        <b/>
        <sz val="9"/>
        <color indexed="12"/>
        <rFont val="Arial"/>
        <family val="2"/>
      </rPr>
      <t xml:space="preserve"> SHIP TO ADDRESS </t>
    </r>
    <r>
      <rPr>
        <b/>
        <sz val="9"/>
        <color indexed="10"/>
        <rFont val="맑은 고딕"/>
        <family val="3"/>
        <charset val="129"/>
      </rPr>
      <t>운송주소</t>
    </r>
    <phoneticPr fontId="85" type="noConversion"/>
  </si>
  <si>
    <r>
      <rPr>
        <b/>
        <sz val="9"/>
        <color indexed="12"/>
        <rFont val="돋움"/>
        <family val="3"/>
        <charset val="129"/>
      </rPr>
      <t>⑪</t>
    </r>
    <r>
      <rPr>
        <b/>
        <sz val="9"/>
        <color indexed="12"/>
        <rFont val="Arial"/>
        <family val="2"/>
      </rPr>
      <t xml:space="preserve"> REMARKS</t>
    </r>
    <phoneticPr fontId="85" type="noConversion"/>
  </si>
  <si>
    <t>AMO VINA CO., LTD.</t>
    <phoneticPr fontId="85" type="noConversion"/>
  </si>
  <si>
    <t>LOT CN 13, KHAI QUANG INDUSTRIAL ZONE,</t>
    <phoneticPr fontId="85" type="noConversion"/>
  </si>
  <si>
    <t>신고 07AC 해투 00089</t>
    <phoneticPr fontId="3" type="noConversion"/>
  </si>
  <si>
    <t>KHAI QUANG WARD, VINH YEN CITY</t>
    <phoneticPr fontId="85" type="noConversion"/>
  </si>
  <si>
    <t>VINH PHUC PROVINCE, VIETNAM</t>
    <phoneticPr fontId="85" type="noConversion"/>
  </si>
  <si>
    <t>TAX CODE : 2500517382</t>
    <phoneticPr fontId="85" type="noConversion"/>
  </si>
  <si>
    <t>ATTN : Ms. Van (Thanh Van) / vinatrade@amotech.co.kr / MP : (+84) 969-00-99-60</t>
    <phoneticPr fontId="85" type="noConversion"/>
  </si>
  <si>
    <t>" FREIGHT PREPAID "</t>
    <phoneticPr fontId="85" type="noConversion"/>
  </si>
  <si>
    <r>
      <rPr>
        <b/>
        <sz val="9"/>
        <color indexed="12"/>
        <rFont val="돋움"/>
        <family val="3"/>
        <charset val="129"/>
      </rPr>
      <t>③</t>
    </r>
    <r>
      <rPr>
        <b/>
        <sz val="9"/>
        <color indexed="12"/>
        <rFont val="Arial"/>
        <family val="2"/>
      </rPr>
      <t xml:space="preserve"> BUYER / BILL TO ADDRESS </t>
    </r>
    <r>
      <rPr>
        <b/>
        <sz val="9"/>
        <color indexed="10"/>
        <rFont val="맑은 고딕"/>
        <family val="3"/>
        <charset val="129"/>
      </rPr>
      <t>수출면허상</t>
    </r>
    <r>
      <rPr>
        <b/>
        <sz val="9"/>
        <color indexed="10"/>
        <rFont val="Arial"/>
        <family val="2"/>
      </rPr>
      <t xml:space="preserve"> </t>
    </r>
    <r>
      <rPr>
        <b/>
        <sz val="9"/>
        <color indexed="10"/>
        <rFont val="맑은 고딕"/>
        <family val="3"/>
        <charset val="129"/>
      </rPr>
      <t>구매자</t>
    </r>
    <phoneticPr fontId="85" type="noConversion"/>
  </si>
  <si>
    <t>SAME AS ABOVE</t>
    <phoneticPr fontId="85" type="noConversion"/>
  </si>
  <si>
    <r>
      <rPr>
        <b/>
        <sz val="9"/>
        <color indexed="12"/>
        <rFont val="돋움"/>
        <family val="3"/>
        <charset val="129"/>
      </rPr>
      <t>④</t>
    </r>
    <r>
      <rPr>
        <b/>
        <sz val="9"/>
        <color indexed="12"/>
        <rFont val="Arial"/>
        <family val="2"/>
      </rPr>
      <t xml:space="preserve"> PORT OF LOADING</t>
    </r>
    <phoneticPr fontId="85" type="noConversion"/>
  </si>
  <si>
    <r>
      <rPr>
        <b/>
        <sz val="9"/>
        <color indexed="12"/>
        <rFont val="돋움"/>
        <family val="3"/>
        <charset val="129"/>
      </rPr>
      <t>⑤</t>
    </r>
    <r>
      <rPr>
        <b/>
        <sz val="9"/>
        <color indexed="12"/>
        <rFont val="Arial"/>
        <family val="2"/>
      </rPr>
      <t xml:space="preserve"> FINAL DESTINATION</t>
    </r>
    <phoneticPr fontId="85" type="noConversion"/>
  </si>
  <si>
    <t>INCHEON, KOREA</t>
    <phoneticPr fontId="85" type="noConversion"/>
  </si>
  <si>
    <t>HANOI, VIETNAM</t>
    <phoneticPr fontId="85" type="noConversion"/>
  </si>
  <si>
    <r>
      <rPr>
        <b/>
        <sz val="9"/>
        <color indexed="12"/>
        <rFont val="돋움"/>
        <family val="3"/>
        <charset val="129"/>
      </rPr>
      <t>⑥</t>
    </r>
    <r>
      <rPr>
        <b/>
        <sz val="9"/>
        <color indexed="12"/>
        <rFont val="Arial"/>
        <family val="2"/>
      </rPr>
      <t xml:space="preserve"> CARRIER</t>
    </r>
    <phoneticPr fontId="85" type="noConversion"/>
  </si>
  <si>
    <r>
      <rPr>
        <b/>
        <sz val="9"/>
        <color indexed="12"/>
        <rFont val="돋움"/>
        <family val="3"/>
        <charset val="129"/>
      </rPr>
      <t>⑦</t>
    </r>
    <r>
      <rPr>
        <b/>
        <sz val="9"/>
        <color indexed="12"/>
        <rFont val="Arial"/>
        <family val="2"/>
      </rPr>
      <t xml:space="preserve"> SAILING ON OR ABOUT</t>
    </r>
    <phoneticPr fontId="85" type="noConversion"/>
  </si>
  <si>
    <t>BY AIR</t>
    <phoneticPr fontId="85" type="noConversion"/>
  </si>
  <si>
    <t>SHIP. MARKS</t>
    <phoneticPr fontId="85" type="noConversion"/>
  </si>
  <si>
    <t>HS CODE</t>
    <phoneticPr fontId="85" type="noConversion"/>
  </si>
  <si>
    <t>M/C NAME</t>
    <phoneticPr fontId="85" type="noConversion"/>
  </si>
  <si>
    <t>MODEL NO.</t>
    <phoneticPr fontId="85" type="noConversion"/>
  </si>
  <si>
    <t>SERIAL NO.</t>
    <phoneticPr fontId="3" type="noConversion"/>
  </si>
  <si>
    <r>
      <t>NEW/USED</t>
    </r>
    <r>
      <rPr>
        <i/>
        <sz val="11"/>
        <rFont val="돋움"/>
        <family val="3"/>
        <charset val="129"/>
      </rPr>
      <t/>
    </r>
    <phoneticPr fontId="85" type="noConversion"/>
  </si>
  <si>
    <t>PRODUCTION YEAR</t>
    <phoneticPr fontId="85" type="noConversion"/>
  </si>
  <si>
    <t>MANUFACTURER</t>
    <phoneticPr fontId="85" type="noConversion"/>
  </si>
  <si>
    <t>C/O/O</t>
    <phoneticPr fontId="85" type="noConversion"/>
  </si>
  <si>
    <t>Q'TY</t>
    <phoneticPr fontId="85" type="noConversion"/>
  </si>
  <si>
    <t>U/P</t>
    <phoneticPr fontId="85" type="noConversion"/>
  </si>
  <si>
    <t>AMOUNT</t>
    <phoneticPr fontId="85" type="noConversion"/>
  </si>
  <si>
    <t>NET W.</t>
    <phoneticPr fontId="85" type="noConversion"/>
  </si>
  <si>
    <t>GROSS W.</t>
    <phoneticPr fontId="85" type="noConversion"/>
  </si>
  <si>
    <t>AMO VINA</t>
    <phoneticPr fontId="85" type="noConversion"/>
  </si>
  <si>
    <t>1-1</t>
    <phoneticPr fontId="3" type="noConversion"/>
  </si>
  <si>
    <t>VIETNAM</t>
    <phoneticPr fontId="85" type="noConversion"/>
  </si>
  <si>
    <t>TOTAL</t>
    <phoneticPr fontId="85" type="noConversion"/>
  </si>
  <si>
    <r>
      <rPr>
        <sz val="11"/>
        <color theme="1"/>
        <rFont val="맑은 고딕"/>
        <family val="2"/>
        <charset val="129"/>
        <scheme val="minor"/>
      </rPr>
      <t>운임</t>
    </r>
    <r>
      <rPr>
        <sz val="11"/>
        <rFont val="Arial"/>
        <family val="2"/>
      </rPr>
      <t xml:space="preserve"> :</t>
    </r>
    <phoneticPr fontId="85" type="noConversion"/>
  </si>
  <si>
    <r>
      <rPr>
        <sz val="11"/>
        <color theme="1"/>
        <rFont val="맑은 고딕"/>
        <family val="2"/>
        <charset val="129"/>
        <scheme val="minor"/>
      </rPr>
      <t>보험료</t>
    </r>
    <r>
      <rPr>
        <sz val="11"/>
        <rFont val="Arial"/>
        <family val="2"/>
      </rPr>
      <t xml:space="preserve"> :</t>
    </r>
    <phoneticPr fontId="85" type="noConversion"/>
  </si>
  <si>
    <t>SIGNED BY</t>
    <phoneticPr fontId="85" type="noConversion"/>
  </si>
  <si>
    <t>INVESTMENT CONTRACT OF MACHINE &amp; EQUIPMENT</t>
  </si>
  <si>
    <t>Contract No. :</t>
    <phoneticPr fontId="3" type="noConversion"/>
  </si>
  <si>
    <t>Date :</t>
    <phoneticPr fontId="3" type="noConversion"/>
  </si>
  <si>
    <t>1. The Investor : AMOTECH CO., LTD.</t>
    <phoneticPr fontId="3" type="noConversion"/>
  </si>
  <si>
    <t>- Representative : Kim Pyung kyu, Jeong Jun hwan</t>
    <phoneticPr fontId="3" type="noConversion"/>
  </si>
  <si>
    <t>- Address : 1 LOT. 5BLOCK NAMDONG-GONGDAN, 617 NAMCHON DONG, NAMDONG-GU, INCHEON CITY, KOREA</t>
    <phoneticPr fontId="3" type="noConversion"/>
  </si>
  <si>
    <t>(Hereinafter refer to as the "Investor")</t>
    <phoneticPr fontId="18" type="noConversion"/>
  </si>
  <si>
    <t>2. The Investee : AMO VINA CO., LTD.</t>
    <phoneticPr fontId="3" type="noConversion"/>
  </si>
  <si>
    <t>- Representative : Jeong Kyu hyuk</t>
    <phoneticPr fontId="3" type="noConversion"/>
  </si>
  <si>
    <t>- Address : LOT CN 13, KHAI QUANG INDUSTRIAL ZONE, KHAI QUANG WARD, VINH YEN CITY, VINH PHUC PROVINCE, VIETNAM</t>
    <phoneticPr fontId="3" type="noConversion"/>
  </si>
  <si>
    <t>(Hereinafter refer to as the "Investee")</t>
    <phoneticPr fontId="18" type="noConversion"/>
  </si>
  <si>
    <t>It has been mutually agreed by both parties to sign this contract under the following terms and conditions:</t>
    <phoneticPr fontId="3" type="noConversion"/>
  </si>
  <si>
    <t>ARTICLE 1. Investment in Kind</t>
    <phoneticPr fontId="3" type="noConversion"/>
  </si>
  <si>
    <t>1.1 Investment amount :</t>
    <phoneticPr fontId="3" type="noConversion"/>
  </si>
  <si>
    <t>1.2 Machine &amp; Equipment list</t>
    <phoneticPr fontId="3" type="noConversion"/>
  </si>
  <si>
    <t>ITEM NAME</t>
    <phoneticPr fontId="3" type="noConversion"/>
  </si>
  <si>
    <t>MODEL NO.</t>
  </si>
  <si>
    <t>NEW/USED</t>
  </si>
  <si>
    <t>PRODUCTION YEAR</t>
  </si>
  <si>
    <t>MANUFACTURER</t>
  </si>
  <si>
    <t>COO</t>
  </si>
  <si>
    <t>Q'TY</t>
  </si>
  <si>
    <t>U/P</t>
  </si>
  <si>
    <t>AMOUNT</t>
  </si>
  <si>
    <t>TOTAL</t>
  </si>
  <si>
    <t>ARTICLE 2. Country of origin of Machine &amp; Equipment</t>
    <phoneticPr fontId="3" type="noConversion"/>
  </si>
  <si>
    <t>2.1 Country of origin : As above list</t>
    <phoneticPr fontId="3" type="noConversion"/>
  </si>
  <si>
    <t>ARTICLE 3. Packing of Machine &amp; Equipment</t>
    <phoneticPr fontId="3" type="noConversion"/>
  </si>
  <si>
    <t>3.1 Export standard packing</t>
    <phoneticPr fontId="18" type="noConversion"/>
  </si>
  <si>
    <t>ARTICLE 4. Payment</t>
    <phoneticPr fontId="3" type="noConversion"/>
  </si>
  <si>
    <t>4.1 The above investment in kind of Machine &amp; Equipment is applied to NO COMMERCIAL VALUE.</t>
    <phoneticPr fontId="18" type="noConversion"/>
  </si>
  <si>
    <t>ARTICLE 5. Documentation</t>
    <phoneticPr fontId="3" type="noConversion"/>
  </si>
  <si>
    <t>5.1 The Investor shall send to the Investee all necessary documents such as; detailed drawing, instructions, manuals relating to the machine &amp; equipment.</t>
    <phoneticPr fontId="3" type="noConversion"/>
  </si>
  <si>
    <t xml:space="preserve">5.2 The Investor shall send a full set of draft documents to the Investee before delivery date for the local import procedure. </t>
    <phoneticPr fontId="3" type="noConversion"/>
  </si>
  <si>
    <t>ARTICLE 6. General Conditions</t>
    <phoneticPr fontId="3" type="noConversion"/>
  </si>
  <si>
    <t>6.1 Both parties guarantee to fulfill terms and conditions of this contract completely and strictly.</t>
    <phoneticPr fontId="3" type="noConversion"/>
  </si>
  <si>
    <t>6.2 Both parties will discuss problems to solve them and any revision must be confirmed by written form.</t>
    <phoneticPr fontId="3" type="noConversion"/>
  </si>
  <si>
    <t>6.3 This contract is made in 02 in English copies with the same value.</t>
    <phoneticPr fontId="18" type="noConversion"/>
  </si>
  <si>
    <t xml:space="preserve">6.4 Validity : From the signing date </t>
    <phoneticPr fontId="3" type="noConversion"/>
  </si>
  <si>
    <t>The Investor : AMOTECH CO., LTD.</t>
    <phoneticPr fontId="3" type="noConversion"/>
  </si>
  <si>
    <t>The Investee : AMO VINA CO., LTD.</t>
    <phoneticPr fontId="3" type="noConversion"/>
  </si>
  <si>
    <t>VACUUM PACKING M/C</t>
    <phoneticPr fontId="3" type="noConversion"/>
  </si>
  <si>
    <t>GASUNG PACK</t>
    <phoneticPr fontId="3" type="noConversion"/>
  </si>
  <si>
    <t>PACKING</t>
    <phoneticPr fontId="3" type="noConversion"/>
  </si>
  <si>
    <t>8422.40-9030</t>
    <phoneticPr fontId="3" type="noConversion"/>
  </si>
  <si>
    <t>DIM.(mm)</t>
    <phoneticPr fontId="3" type="noConversion"/>
  </si>
  <si>
    <t>PALLET NO.</t>
    <phoneticPr fontId="3" type="noConversion"/>
  </si>
  <si>
    <t>PALLET NO.</t>
    <phoneticPr fontId="85" type="noConversion"/>
  </si>
  <si>
    <t>VMC-ANT-190820A</t>
    <phoneticPr fontId="3" type="noConversion"/>
  </si>
  <si>
    <t>항공</t>
    <phoneticPr fontId="3" type="noConversion"/>
  </si>
  <si>
    <t>긴급 양산이관</t>
    <phoneticPr fontId="3" type="noConversion"/>
  </si>
  <si>
    <r>
      <t xml:space="preserve">OPERATING PRINCIPLE
작동원리
</t>
    </r>
    <r>
      <rPr>
        <b/>
        <sz val="11"/>
        <color rgb="FFFF0000"/>
        <rFont val="맑은 고딕"/>
        <family val="3"/>
        <charset val="129"/>
      </rPr>
      <t>★반드시 영문+국문작성</t>
    </r>
    <phoneticPr fontId="3" type="noConversion"/>
  </si>
  <si>
    <r>
      <t xml:space="preserve">HOW TO USE
작동방법
</t>
    </r>
    <r>
      <rPr>
        <b/>
        <sz val="11"/>
        <color rgb="FFFF0000"/>
        <rFont val="맑은 고딕"/>
        <family val="3"/>
        <charset val="129"/>
        <scheme val="minor"/>
      </rPr>
      <t>★반드시 영문+국문작성</t>
    </r>
    <phoneticPr fontId="3" type="noConversion"/>
  </si>
  <si>
    <r>
      <t xml:space="preserve">USAGE
용도
</t>
    </r>
    <r>
      <rPr>
        <b/>
        <sz val="11"/>
        <color rgb="FFFF0000"/>
        <rFont val="맑은 고딕"/>
        <family val="3"/>
        <charset val="129"/>
        <scheme val="minor"/>
      </rPr>
      <t>★반드시 영문+국문작성</t>
    </r>
    <phoneticPr fontId="3" type="noConversion"/>
  </si>
  <si>
    <t>conferencing equipment for Amovina</t>
    <phoneticPr fontId="3" type="noConversion"/>
  </si>
  <si>
    <t>화상회의장비</t>
    <phoneticPr fontId="3" type="noConversion"/>
  </si>
  <si>
    <t>Cisco Webex DX80</t>
    <phoneticPr fontId="3" type="noConversion"/>
  </si>
  <si>
    <t>CP-DX80-K9</t>
    <phoneticPr fontId="3" type="noConversion"/>
  </si>
  <si>
    <t>FOC2327KLW3</t>
    <phoneticPr fontId="3" type="noConversion"/>
  </si>
  <si>
    <t>700*240*740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</si>
</sst>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0.00%"/>
    <numFmt numFmtId="178" formatCode="&quot;₩&quot;#,##0;[Red]&quot;₩&quot;\-#,##0"/>
    <numFmt numFmtId="179" formatCode="&quot;₩&quot;#,##0.00;&quot;₩&quot;\-#,##0.00"/>
    <numFmt numFmtId="180" formatCode="_ * #&quot;₩&quot;&quot;₩&quot;\!\!\!\,##0_ ;_ * &quot;₩&quot;&quot;₩&quot;&quot;₩&quot;\!\!\!\-#&quot;₩&quot;&quot;₩&quot;\!\!\!\,##0_ ;_ * &quot;-&quot;_ ;_ @_ "/>
    <numFmt numFmtId="181" formatCode="_ * #&quot;₩&quot;&quot;₩&quot;\!\!\!\,##0&quot;₩&quot;&quot;₩&quot;\!.00_ ;_ * &quot;₩&quot;&quot;₩&quot;&quot;₩&quot;\!\!\!\-#&quot;₩&quot;&quot;₩&quot;\!\!\!\,##0&quot;₩&quot;&quot;₩&quot;\!.00_ ;_ * &quot;-&quot;??_ ;_ @_ "/>
    <numFmt numFmtId="182" formatCode="#&quot;₩&quot;&quot;₩&quot;\!\!\!\,##0&quot;₩&quot;&quot;₩&quot;\!.000"/>
    <numFmt numFmtId="183" formatCode="&quot;₩&quot;#&quot;₩&quot;&quot;₩&quot;\!\!\!\,##0&quot;₩&quot;&quot;₩&quot;\!.00;[Red]&quot;₩&quot;&quot;₩&quot;&quot;₩&quot;&quot;₩&quot;&quot;₩&quot;&quot;₩&quot;\!\!\!\-#&quot;₩&quot;&quot;₩&quot;\!\!\!\,##0&quot;₩&quot;&quot;₩&quot;\!.00"/>
    <numFmt numFmtId="184" formatCode="#,##0.00\ &quot;KGS&quot;"/>
    <numFmt numFmtId="185" formatCode="#,##0.00\ &quot;F&quot;;\-#,##0.00\ &quot;F&quot;"/>
    <numFmt numFmtId="186" formatCode="_(&quot;$&quot;* #,##0_);_(&quot;$&quot;* \(#,##0\);_(&quot;$&quot;* &quot;-&quot;_);_(@_)"/>
    <numFmt numFmtId="187" formatCode="_-* #,##0\ _F_-;\-* #,##0\ _F_-;_-* &quot;-&quot;\ _F_-;_-@_-"/>
    <numFmt numFmtId="188" formatCode="yy\.mm\.dd"/>
    <numFmt numFmtId="189" formatCode="_ &quot;₩&quot;* #,##0_ ;_ &quot;₩&quot;* \-#,##0_ ;_ &quot;₩&quot;* &quot;-&quot;_ ;_ @_ "/>
    <numFmt numFmtId="190" formatCode="m\/d"/>
    <numFmt numFmtId="191" formatCode="_ &quot;₩&quot;* #,##0.00_ ;_ &quot;₩&quot;* \-#,##0.00_ ;_ &quot;₩&quot;* &quot;-&quot;??_ ;_ @_ "/>
    <numFmt numFmtId="192" formatCode="m\/d\/yy"/>
    <numFmt numFmtId="193" formatCode="_ * #,##0_ ;_ * \-#,##0_ ;_ * &quot;-&quot;_ ;_ @_ "/>
    <numFmt numFmtId="194" formatCode="_ * #,##0.00_ ;_ * \-#,##0.00_ ;_ * &quot;-&quot;??_ ;_ @_ "/>
    <numFmt numFmtId="195" formatCode="&quot;₩&quot;#,##0.00;&quot;₩&quot;&quot;₩&quot;\-#,##0.00"/>
    <numFmt numFmtId="196" formatCode="_ &quot;₩&quot;* #,##0.00_ ;_ &quot;₩&quot;* &quot;₩&quot;&quot;₩&quot;&quot;₩&quot;&quot;₩&quot;&quot;₩&quot;&quot;₩&quot;&quot;₩&quot;&quot;₩&quot;\-#,##0.00_ ;_ &quot;₩&quot;* &quot;-&quot;??_ ;_ @_ "/>
    <numFmt numFmtId="197" formatCode="_ &quot;kr&quot;\ * #,##0.00_ ;_ &quot;kr&quot;\ * \-#,##0.00_ ;_ &quot;kr&quot;\ * &quot;-&quot;??_ ;_ @_ "/>
    <numFmt numFmtId="198" formatCode="#."/>
    <numFmt numFmtId="199" formatCode="#,##0;[Red]&quot;-&quot;#,##0"/>
    <numFmt numFmtId="200" formatCode="0.00_);[Red]\(0.00\)"/>
    <numFmt numFmtId="201" formatCode="#,##0&quot;ea&quot;"/>
    <numFmt numFmtId="202" formatCode="_-\$* #,##0.00_ ;_-\$* \-#,##0.00\ ;_-\$* &quot;-&quot;??_ ;_-@_ "/>
    <numFmt numFmtId="203" formatCode="[$$-409]#,##0.0000"/>
    <numFmt numFmtId="204" formatCode="[$$-409]#,##0.00"/>
    <numFmt numFmtId="205" formatCode="mmm&quot; &quot;dd&quot;, &quot;yyyy"/>
    <numFmt numFmtId="206" formatCode="&quot;2019-&quot;0&quot;차 MACHINE INVESTMENT&quot;"/>
    <numFmt numFmtId="207" formatCode="#,##0\ &quot;SETS&quot;"/>
    <numFmt numFmtId="208" formatCode="_-[$$-409]* #,##0.00_ ;_-[$$-409]* \-#,##0.00\ ;_-[$$-409]* &quot;-&quot;??_ ;_-@_ "/>
    <numFmt numFmtId="209" formatCode="mm&quot;월&quot;\ dd&quot;일&quot;"/>
    <numFmt numFmtId="210" formatCode="_-&quot;US$&quot;* #,##0.000_ ;_-&quot;US$&quot;* \-#,##0.000\ ;_-&quot;US$&quot;* &quot;-&quot;??_ ;_-@_ "/>
    <numFmt numFmtId="211" formatCode="_-&quot;US$&quot;* #,##0.00_ ;_-&quot;US$&quot;* \-#,##0.00\ ;_-&quot;US$&quot;* &quot;-&quot;??_ ;_-@_ "/>
    <numFmt numFmtId="212" formatCode="0.00_ "/>
    <numFmt numFmtId="213" formatCode="#,##0\ &quot;ctns&quot;"/>
    <numFmt numFmtId="214" formatCode="[$-409]d\-mmm\-yy;@"/>
    <numFmt numFmtId="215" formatCode="#,##0.00_ "/>
    <numFmt numFmtId="216" formatCode="_(* #,##0.00_);_(* \(#,##0.00\);_(* &quot;-&quot;??_);_(@_)"/>
    <numFmt numFmtId="217" formatCode="_-[$USD]\ * #,##0.00_-;\-[$USD]\ * #,##0.00_-;_-[$USD]\ * &quot;-&quot;??_-;_-@_-"/>
    <numFmt numFmtId="218" formatCode="_(* #,##0.0_);_(* \(#,##0.0\);_(* &quot;-&quot;?_);_(@_)"/>
  </numFmts>
  <fonts count="1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Times New Roman"/>
      <family val="1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1"/>
      <name val="굴림체"/>
      <family val="3"/>
      <charset val="129"/>
    </font>
    <font>
      <sz val="10"/>
      <name val="Arial Cyr"/>
      <family val="1"/>
    </font>
    <font>
      <sz val="10"/>
      <name val="PragmaticaCTT"/>
      <family val="1"/>
    </font>
    <font>
      <u/>
      <sz val="7.5"/>
      <color indexed="36"/>
      <name val="Arial"/>
      <family val="2"/>
    </font>
    <font>
      <sz val="10"/>
      <color indexed="24"/>
      <name val="MS Sans Serif"/>
      <family val="2"/>
    </font>
    <font>
      <sz val="12"/>
      <name val="굴림체"/>
      <family val="3"/>
      <charset val="129"/>
    </font>
    <font>
      <b/>
      <sz val="10"/>
      <name val="Helv"/>
      <family val="2"/>
    </font>
    <font>
      <sz val="11"/>
      <name val="돋움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1"/>
      <name val="굴림체"/>
      <family val="3"/>
    </font>
    <font>
      <sz val="10"/>
      <name val="Geneva"/>
      <family val="2"/>
    </font>
    <font>
      <sz val="10"/>
      <name val="標楷體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theme="1"/>
      <name val="굴림"/>
      <family val="2"/>
      <charset val="129"/>
    </font>
    <font>
      <sz val="9"/>
      <color theme="1"/>
      <name val="굴림"/>
      <family val="3"/>
      <charset val="129"/>
    </font>
    <font>
      <sz val="11"/>
      <color theme="1"/>
      <name val="굴림"/>
      <family val="2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바탕체"/>
      <family val="1"/>
      <charset val="129"/>
    </font>
    <font>
      <sz val="12"/>
      <name val="宋体"/>
      <family val="3"/>
      <charset val="129"/>
    </font>
    <font>
      <sz val="10"/>
      <name val="Times New Roman"/>
      <family val="1"/>
    </font>
    <font>
      <sz val="10"/>
      <color indexed="8"/>
      <name val="MS Sans Serif"/>
      <family val="2"/>
    </font>
    <font>
      <sz val="10"/>
      <name val="MS Sans Serif"/>
      <family val="2"/>
    </font>
    <font>
      <sz val="8"/>
      <name val="Times New Roman"/>
      <family val="1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2"/>
      <name val="돋움체"/>
      <family val="3"/>
      <charset val="129"/>
    </font>
    <font>
      <sz val="14"/>
      <name val="±¼¸²Ã¼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8"/>
      <name val="¹UAAA¼"/>
      <family val="1"/>
      <charset val="129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10"/>
      <name val="돋움체"/>
      <family val="3"/>
      <charset val="129"/>
    </font>
    <font>
      <u/>
      <sz val="8"/>
      <color indexed="12"/>
      <name val="Times New Roman"/>
      <family val="1"/>
    </font>
    <font>
      <sz val="12"/>
      <name val="Helv"/>
      <family val="2"/>
    </font>
    <font>
      <sz val="12"/>
      <color indexed="9"/>
      <name val="Helv"/>
      <family val="2"/>
    </font>
    <font>
      <sz val="9"/>
      <name val="굴림"/>
      <family val="3"/>
      <charset val="129"/>
    </font>
    <font>
      <b/>
      <sz val="8"/>
      <color indexed="8"/>
      <name val="Helv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Courier"/>
      <family val="3"/>
    </font>
    <font>
      <sz val="14"/>
      <name val="뼻뮝"/>
      <family val="3"/>
      <charset val="129"/>
    </font>
    <font>
      <sz val="12"/>
      <name val="┭병릇"/>
      <family val="1"/>
      <charset val="129"/>
    </font>
    <font>
      <sz val="1"/>
      <color indexed="0"/>
      <name val="Courier"/>
      <family val="3"/>
    </font>
    <font>
      <sz val="11"/>
      <color indexed="8"/>
      <name val="宋体"/>
    </font>
    <font>
      <b/>
      <sz val="12"/>
      <color indexed="16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theme="1"/>
      <name val="宋体"/>
      <family val="3"/>
      <charset val="129"/>
    </font>
    <font>
      <sz val="11"/>
      <color theme="1"/>
      <name val="맑은 고딕"/>
      <family val="3"/>
      <charset val="129"/>
    </font>
    <font>
      <sz val="12"/>
      <name val="옢?릇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나눔명조"/>
      <family val="1"/>
      <charset val="129"/>
    </font>
    <font>
      <b/>
      <sz val="11"/>
      <color rgb="FFFF0000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name val="Arial Black"/>
      <family val="2"/>
    </font>
    <font>
      <sz val="8"/>
      <name val="돋움"/>
      <family val="3"/>
      <charset val="129"/>
    </font>
    <font>
      <b/>
      <sz val="16"/>
      <name val="Arial"/>
      <family val="2"/>
    </font>
    <font>
      <b/>
      <sz val="9"/>
      <color indexed="12"/>
      <name val="Arial"/>
      <family val="2"/>
    </font>
    <font>
      <b/>
      <sz val="9"/>
      <color indexed="12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9"/>
      <color indexed="10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9"/>
      <color indexed="10"/>
      <name val="Arial"/>
      <family val="2"/>
    </font>
    <font>
      <sz val="11"/>
      <color rgb="FF000000"/>
      <name val="Arial"/>
      <family val="2"/>
    </font>
    <font>
      <b/>
      <sz val="8"/>
      <color indexed="12"/>
      <name val="Arial"/>
      <family val="2"/>
    </font>
    <font>
      <u/>
      <sz val="11"/>
      <name val="Arial"/>
      <family val="2"/>
    </font>
    <font>
      <u/>
      <sz val="12"/>
      <name val="Arial"/>
      <family val="2"/>
    </font>
    <font>
      <i/>
      <sz val="11"/>
      <name val="Arial"/>
      <family val="2"/>
    </font>
    <font>
      <i/>
      <sz val="11"/>
      <name val="돋움"/>
      <family val="3"/>
      <charset val="129"/>
    </font>
    <font>
      <b/>
      <u/>
      <sz val="10"/>
      <name val="Arial"/>
      <family val="2"/>
    </font>
    <font>
      <b/>
      <sz val="10"/>
      <name val="Arial"/>
      <family val="2"/>
    </font>
    <font>
      <sz val="11"/>
      <color theme="1"/>
      <name val="맑은 고딕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2"/>
      <name val=".VnTime"/>
      <family val="2"/>
    </font>
    <font>
      <b/>
      <i/>
      <sz val="20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2"/>
      <color rgb="FF0000FF"/>
      <name val="Times New Roman"/>
      <family val="1"/>
    </font>
    <font>
      <sz val="12"/>
      <color rgb="FFFF0000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2"/>
      <name val="宋体"/>
    </font>
    <font>
      <b/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288">
    <xf numFmtId="0" fontId="0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10" fillId="0" borderId="0" applyFont="0" applyFill="0" applyBorder="0" applyAlignment="0" applyProtection="0"/>
    <xf numFmtId="0" fontId="7" fillId="0" borderId="0"/>
    <xf numFmtId="0" fontId="9" fillId="0" borderId="0"/>
    <xf numFmtId="0" fontId="7" fillId="0" borderId="0"/>
    <xf numFmtId="0" fontId="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9" fillId="0" borderId="0"/>
    <xf numFmtId="0" fontId="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0" borderId="0"/>
    <xf numFmtId="0" fontId="23" fillId="0" borderId="0" applyFont="0" applyFill="0" applyBorder="0" applyAlignment="0" applyProtection="0"/>
    <xf numFmtId="0" fontId="9" fillId="0" borderId="0"/>
    <xf numFmtId="0" fontId="7" fillId="0" borderId="0"/>
    <xf numFmtId="0" fontId="7" fillId="0" borderId="0"/>
    <xf numFmtId="0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25" fillId="0" borderId="1" applyFill="0" applyBorder="0" applyProtection="0">
      <alignment vertical="justify"/>
    </xf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7" fillId="0" borderId="0">
      <alignment horizontal="left"/>
    </xf>
    <xf numFmtId="0" fontId="7" fillId="0" borderId="0">
      <alignment horizontal="left"/>
    </xf>
    <xf numFmtId="177" fontId="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41" fontId="5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4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5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183" fontId="1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/>
    <xf numFmtId="182" fontId="17" fillId="0" borderId="0"/>
    <xf numFmtId="38" fontId="18" fillId="2" borderId="0" applyNumberFormat="0" applyBorder="0" applyAlignment="0" applyProtection="0"/>
    <xf numFmtId="0" fontId="19" fillId="0" borderId="0">
      <alignment horizontal="left"/>
    </xf>
    <xf numFmtId="0" fontId="20" fillId="0" borderId="2" applyNumberFormat="0" applyAlignment="0" applyProtection="0">
      <alignment horizontal="left" vertical="center"/>
    </xf>
    <xf numFmtId="0" fontId="20" fillId="0" borderId="3">
      <alignment horizontal="left" vertical="center"/>
    </xf>
    <xf numFmtId="10" fontId="18" fillId="2" borderId="1" applyNumberFormat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21" fillId="0" borderId="4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7" fontId="22" fillId="0" borderId="0"/>
    <xf numFmtId="176" fontId="7" fillId="0" borderId="0"/>
    <xf numFmtId="10" fontId="7" fillId="0" borderId="0" applyFont="0" applyFill="0" applyBorder="0" applyAlignment="0" applyProtection="0"/>
    <xf numFmtId="0" fontId="21" fillId="0" borderId="0"/>
    <xf numFmtId="0" fontId="5" fillId="0" borderId="0">
      <alignment vertical="center"/>
    </xf>
    <xf numFmtId="41" fontId="5" fillId="0" borderId="0" applyFont="0" applyFill="0" applyBorder="0" applyAlignment="0" applyProtection="0"/>
    <xf numFmtId="0" fontId="28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42" fontId="3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5" fillId="0" borderId="0"/>
    <xf numFmtId="0" fontId="32" fillId="0" borderId="0">
      <alignment vertical="center"/>
    </xf>
    <xf numFmtId="42" fontId="5" fillId="0" borderId="0" applyFon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/>
    <xf numFmtId="0" fontId="7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/>
    <xf numFmtId="0" fontId="35" fillId="0" borderId="0"/>
    <xf numFmtId="0" fontId="35" fillId="0" borderId="0"/>
    <xf numFmtId="0" fontId="35" fillId="0" borderId="0"/>
    <xf numFmtId="0" fontId="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/>
    <xf numFmtId="0" fontId="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7" fillId="0" borderId="0" applyBorder="0"/>
    <xf numFmtId="0" fontId="37" fillId="0" borderId="0" applyNumberFormat="0" applyFont="0" applyFill="0" applyBorder="0" applyAlignment="0" applyProtection="0"/>
    <xf numFmtId="0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7" fillId="0" borderId="0" applyBorder="0" applyProtection="0"/>
    <xf numFmtId="0" fontId="38" fillId="0" borderId="0"/>
    <xf numFmtId="0" fontId="39" fillId="0" borderId="0" applyFont="0" applyFill="0" applyBorder="0" applyAlignment="0" applyProtection="0"/>
    <xf numFmtId="186" fontId="39" fillId="0" borderId="0" applyFont="0" applyFill="0" applyBorder="0" applyAlignment="0" applyProtection="0"/>
    <xf numFmtId="0" fontId="39" fillId="0" borderId="0"/>
    <xf numFmtId="0" fontId="24" fillId="0" borderId="0"/>
    <xf numFmtId="0" fontId="7" fillId="0" borderId="0"/>
    <xf numFmtId="0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0" fontId="7" fillId="0" borderId="0"/>
    <xf numFmtId="0" fontId="10" fillId="0" borderId="0" applyFont="0" applyFill="0" applyBorder="0" applyAlignment="0" applyProtection="0"/>
    <xf numFmtId="0" fontId="7" fillId="0" borderId="0"/>
    <xf numFmtId="0" fontId="7" fillId="0" borderId="0"/>
    <xf numFmtId="0" fontId="5" fillId="0" borderId="0" applyFont="0" applyFill="0" applyBorder="0" applyAlignment="0" applyProtection="0"/>
    <xf numFmtId="0" fontId="9" fillId="0" borderId="0"/>
    <xf numFmtId="0" fontId="7" fillId="0" borderId="0"/>
    <xf numFmtId="0" fontId="7" fillId="0" borderId="0"/>
    <xf numFmtId="0" fontId="36" fillId="0" borderId="0"/>
    <xf numFmtId="0" fontId="5" fillId="0" borderId="0" applyFont="0" applyFill="0" applyBorder="0" applyAlignment="0" applyProtection="0"/>
    <xf numFmtId="40" fontId="38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 applyFont="0" applyFill="0" applyBorder="0" applyAlignment="0" applyProtection="0"/>
    <xf numFmtId="0" fontId="7" fillId="0" borderId="0"/>
    <xf numFmtId="188" fontId="8" fillId="0" borderId="0">
      <alignment vertical="center"/>
    </xf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9" fontId="44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43" fillId="0" borderId="0" applyFont="0" applyFill="0" applyBorder="0" applyAlignment="0" applyProtection="0"/>
    <xf numFmtId="0" fontId="7" fillId="0" borderId="0" applyFont="0" applyFill="0" applyBorder="0" applyAlignment="0" applyProtection="0"/>
    <xf numFmtId="189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189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46" fillId="0" borderId="0" applyFont="0" applyFill="0" applyBorder="0" applyAlignment="0" applyProtection="0"/>
    <xf numFmtId="189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9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1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1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/>
    <xf numFmtId="0" fontId="39" fillId="0" borderId="0">
      <alignment horizontal="center" wrapText="1"/>
      <protection locked="0"/>
    </xf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193" fontId="46" fillId="0" borderId="0" applyFont="0" applyFill="0" applyBorder="0" applyAlignment="0" applyProtection="0"/>
    <xf numFmtId="193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3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7" fillId="0" borderId="0" applyFont="0" applyFill="0" applyBorder="0" applyAlignment="0" applyProtection="0"/>
    <xf numFmtId="194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4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4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4" fontId="43" fillId="0" borderId="0" applyFont="0" applyFill="0" applyBorder="0" applyAlignment="0" applyProtection="0"/>
    <xf numFmtId="0" fontId="7" fillId="0" borderId="0" applyFont="0" applyFill="0" applyBorder="0" applyAlignment="0" applyProtection="0"/>
    <xf numFmtId="194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4" fontId="43" fillId="0" borderId="0" applyFont="0" applyFill="0" applyBorder="0" applyAlignment="0" applyProtection="0"/>
    <xf numFmtId="0" fontId="46" fillId="0" borderId="0" applyFont="0" applyFill="0" applyBorder="0" applyAlignment="0" applyProtection="0"/>
    <xf numFmtId="194" fontId="4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194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194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4" fontId="41" fillId="0" borderId="0" applyFont="0" applyFill="0" applyBorder="0" applyAlignment="0" applyProtection="0"/>
    <xf numFmtId="0" fontId="40" fillId="0" borderId="0"/>
    <xf numFmtId="0" fontId="41" fillId="0" borderId="0"/>
    <xf numFmtId="0" fontId="46" fillId="0" borderId="0"/>
    <xf numFmtId="0" fontId="41" fillId="0" borderId="0"/>
    <xf numFmtId="0" fontId="48" fillId="0" borderId="0">
      <alignment vertical="center"/>
    </xf>
    <xf numFmtId="0" fontId="41" fillId="0" borderId="0"/>
    <xf numFmtId="0" fontId="49" fillId="0" borderId="0"/>
    <xf numFmtId="0" fontId="50" fillId="0" borderId="0"/>
    <xf numFmtId="0" fontId="46" fillId="0" borderId="0"/>
    <xf numFmtId="0" fontId="51" fillId="0" borderId="0"/>
    <xf numFmtId="0" fontId="46" fillId="0" borderId="0"/>
    <xf numFmtId="0" fontId="41" fillId="0" borderId="0"/>
    <xf numFmtId="0" fontId="52" fillId="0" borderId="0"/>
    <xf numFmtId="0" fontId="53" fillId="0" borderId="0"/>
    <xf numFmtId="0" fontId="52" fillId="0" borderId="0"/>
    <xf numFmtId="0" fontId="41" fillId="0" borderId="0"/>
    <xf numFmtId="0" fontId="7" fillId="0" borderId="0"/>
    <xf numFmtId="0" fontId="41" fillId="0" borderId="0"/>
    <xf numFmtId="0" fontId="46" fillId="0" borderId="0"/>
    <xf numFmtId="0" fontId="43" fillId="0" borderId="0"/>
    <xf numFmtId="0" fontId="42" fillId="0" borderId="0"/>
    <xf numFmtId="0" fontId="43" fillId="0" borderId="0"/>
    <xf numFmtId="0" fontId="42" fillId="0" borderId="0"/>
    <xf numFmtId="0" fontId="54" fillId="0" borderId="0"/>
    <xf numFmtId="0" fontId="55" fillId="0" borderId="0"/>
    <xf numFmtId="0" fontId="54" fillId="0" borderId="0"/>
    <xf numFmtId="0" fontId="42" fillId="0" borderId="0"/>
    <xf numFmtId="0" fontId="43" fillId="0" borderId="0"/>
    <xf numFmtId="0" fontId="42" fillId="0" borderId="0"/>
    <xf numFmtId="0" fontId="44" fillId="0" borderId="0"/>
    <xf numFmtId="0" fontId="45" fillId="0" borderId="0"/>
    <xf numFmtId="0" fontId="41" fillId="0" borderId="0"/>
    <xf numFmtId="0" fontId="46" fillId="0" borderId="0"/>
    <xf numFmtId="0" fontId="41" fillId="0" borderId="0"/>
    <xf numFmtId="0" fontId="46" fillId="0" borderId="0"/>
    <xf numFmtId="0" fontId="43" fillId="0" borderId="0"/>
    <xf numFmtId="0" fontId="42" fillId="0" borderId="0"/>
    <xf numFmtId="0" fontId="50" fillId="0" borderId="0"/>
    <xf numFmtId="0" fontId="46" fillId="0" borderId="0"/>
    <xf numFmtId="0" fontId="41" fillId="0" borderId="0"/>
    <xf numFmtId="0" fontId="46" fillId="0" borderId="0"/>
    <xf numFmtId="0" fontId="50" fillId="0" borderId="0"/>
    <xf numFmtId="0" fontId="49" fillId="0" borderId="0"/>
    <xf numFmtId="0" fontId="43" fillId="0" borderId="0"/>
    <xf numFmtId="0" fontId="46" fillId="0" borderId="0"/>
    <xf numFmtId="0" fontId="41" fillId="0" borderId="0"/>
    <xf numFmtId="0" fontId="46" fillId="0" borderId="0"/>
    <xf numFmtId="0" fontId="44" fillId="0" borderId="0"/>
    <xf numFmtId="0" fontId="45" fillId="0" borderId="0"/>
    <xf numFmtId="0" fontId="56" fillId="0" borderId="0"/>
    <xf numFmtId="0" fontId="46" fillId="0" borderId="0"/>
    <xf numFmtId="0" fontId="41" fillId="0" borderId="0"/>
    <xf numFmtId="0" fontId="46" fillId="0" borderId="0"/>
    <xf numFmtId="0" fontId="41" fillId="0" borderId="0"/>
    <xf numFmtId="0" fontId="46" fillId="0" borderId="0"/>
    <xf numFmtId="0" fontId="43" fillId="0" borderId="0"/>
    <xf numFmtId="0" fontId="42" fillId="0" borderId="0"/>
    <xf numFmtId="0" fontId="7" fillId="0" borderId="0"/>
    <xf numFmtId="0" fontId="7" fillId="0" borderId="0"/>
    <xf numFmtId="0" fontId="43" fillId="0" borderId="0"/>
    <xf numFmtId="0" fontId="42" fillId="0" borderId="0"/>
    <xf numFmtId="0" fontId="41" fillId="0" borderId="0"/>
    <xf numFmtId="0" fontId="46" fillId="0" borderId="0"/>
    <xf numFmtId="0" fontId="7" fillId="0" borderId="0"/>
    <xf numFmtId="0" fontId="51" fillId="0" borderId="0"/>
    <xf numFmtId="0" fontId="41" fillId="0" borderId="0"/>
    <xf numFmtId="0" fontId="42" fillId="0" borderId="0"/>
    <xf numFmtId="0" fontId="43" fillId="0" borderId="0"/>
    <xf numFmtId="0" fontId="42" fillId="0" borderId="0"/>
    <xf numFmtId="0" fontId="41" fillId="0" borderId="0"/>
    <xf numFmtId="0" fontId="46" fillId="0" borderId="0"/>
    <xf numFmtId="0" fontId="41" fillId="0" borderId="0"/>
    <xf numFmtId="0" fontId="49" fillId="0" borderId="0"/>
    <xf numFmtId="0" fontId="43" fillId="0" borderId="0"/>
    <xf numFmtId="0" fontId="46" fillId="0" borderId="0"/>
    <xf numFmtId="0" fontId="41" fillId="0" borderId="0" applyBorder="0"/>
    <xf numFmtId="0" fontId="46" fillId="0" borderId="0" applyBorder="0"/>
    <xf numFmtId="0" fontId="43" fillId="0" borderId="0"/>
    <xf numFmtId="0" fontId="42" fillId="0" borderId="0"/>
    <xf numFmtId="0" fontId="41" fillId="0" borderId="0"/>
    <xf numFmtId="0" fontId="46" fillId="0" borderId="0"/>
    <xf numFmtId="0" fontId="41" fillId="0" borderId="0"/>
    <xf numFmtId="0" fontId="5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5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194" fontId="9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9" fillId="0" borderId="0" applyFont="0" applyFill="0" applyBorder="0" applyAlignment="0" applyProtection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40" fontId="38" fillId="0" borderId="0" applyFont="0" applyFill="0" applyBorder="0" applyAlignment="0" applyProtection="0"/>
    <xf numFmtId="0" fontId="57" fillId="0" borderId="0" applyNumberFormat="0" applyAlignment="0">
      <alignment horizontal="left"/>
    </xf>
    <xf numFmtId="0" fontId="58" fillId="0" borderId="0" applyNumberFormat="0" applyAlignment="0"/>
    <xf numFmtId="0" fontId="34" fillId="0" borderId="0" applyFont="0" applyFill="0" applyBorder="0" applyAlignment="0" applyProtection="0"/>
    <xf numFmtId="195" fontId="8" fillId="0" borderId="0">
      <alignment horizontal="center"/>
    </xf>
    <xf numFmtId="0" fontId="7" fillId="0" borderId="0" applyFont="0" applyFill="0" applyBorder="0" applyAlignment="0" applyProtection="0"/>
    <xf numFmtId="0" fontId="9" fillId="0" borderId="0" applyFont="0" applyFill="0" applyBorder="0" applyAlignment="0" applyProtection="0"/>
    <xf numFmtId="196" fontId="8" fillId="0" borderId="0" applyFont="0" applyFill="0" applyBorder="0" applyAlignment="0" applyProtection="0"/>
    <xf numFmtId="197" fontId="8" fillId="0" borderId="0" applyFont="0" applyFill="0" applyBorder="0" applyProtection="0">
      <alignment horizontal="centerContinuous"/>
    </xf>
    <xf numFmtId="14" fontId="59" fillId="0" borderId="0" applyFill="0" applyBorder="0" applyAlignment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60" fillId="0" borderId="0" applyNumberFormat="0" applyAlignment="0">
      <alignment horizontal="left"/>
    </xf>
    <xf numFmtId="0" fontId="61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0" fontId="63" fillId="5" borderId="0"/>
    <xf numFmtId="0" fontId="1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64" fillId="6" borderId="0"/>
    <xf numFmtId="0" fontId="37" fillId="0" borderId="0"/>
    <xf numFmtId="0" fontId="65" fillId="0" borderId="0">
      <alignment vertical="top"/>
      <protection locked="0"/>
    </xf>
    <xf numFmtId="0" fontId="38" fillId="0" borderId="0"/>
    <xf numFmtId="14" fontId="39" fillId="0" borderId="0">
      <alignment horizontal="center" wrapText="1"/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9" fontId="38" fillId="0" borderId="0" applyFont="0" applyFill="0" applyBorder="0" applyAlignment="0" applyProtection="0"/>
    <xf numFmtId="10" fontId="38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0" fontId="7" fillId="0" borderId="0"/>
    <xf numFmtId="0" fontId="38" fillId="0" borderId="0" applyNumberFormat="0" applyFont="0" applyFill="0" applyBorder="0" applyAlignment="0" applyProtection="0">
      <alignment horizontal="left"/>
    </xf>
    <xf numFmtId="0" fontId="8" fillId="0" borderId="0" applyFont="0" applyFill="0" applyBorder="0" applyAlignment="0" applyProtection="0"/>
    <xf numFmtId="0" fontId="7" fillId="0" borderId="0" applyNumberFormat="0" applyFill="0" applyBorder="0" applyAlignment="0" applyProtection="0">
      <alignment horizontal="left"/>
    </xf>
    <xf numFmtId="0" fontId="1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6" fillId="0" borderId="0"/>
    <xf numFmtId="40" fontId="66" fillId="0" borderId="0" applyBorder="0">
      <alignment horizontal="right"/>
    </xf>
    <xf numFmtId="49" fontId="59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41" fillId="0" borderId="0"/>
    <xf numFmtId="0" fontId="47" fillId="0" borderId="8">
      <protection locked="0"/>
    </xf>
    <xf numFmtId="0" fontId="8" fillId="0" borderId="0" applyFont="0" applyFill="0" applyBorder="0" applyAlignment="0" applyProtection="0"/>
    <xf numFmtId="2" fontId="67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1" fillId="0" borderId="0"/>
    <xf numFmtId="0" fontId="1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7" fillId="0" borderId="0" applyFont="0" applyFill="0" applyBorder="0" applyAlignment="0" applyProtection="0"/>
    <xf numFmtId="40" fontId="7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198" fontId="73" fillId="0" borderId="0">
      <protection locked="0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1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5" fillId="0" borderId="0"/>
    <xf numFmtId="0" fontId="35" fillId="0" borderId="0"/>
    <xf numFmtId="0" fontId="35" fillId="0" borderId="0">
      <alignment vertical="center"/>
    </xf>
    <xf numFmtId="0" fontId="5" fillId="0" borderId="0" applyFont="0" applyFill="0" applyBorder="0" applyAlignment="0" applyProtection="0"/>
    <xf numFmtId="199" fontId="75" fillId="0" borderId="0">
      <alignment vertical="center"/>
    </xf>
    <xf numFmtId="200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93" fontId="3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200" fontId="3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200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200" fontId="35" fillId="0" borderId="0" applyFont="0" applyFill="0" applyBorder="0" applyAlignment="0" applyProtection="0"/>
    <xf numFmtId="41" fontId="5" fillId="0" borderId="0" applyFont="0" applyFill="0" applyBorder="0" applyAlignment="0" applyProtection="0"/>
    <xf numFmtId="200" fontId="3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200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202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201" fontId="35" fillId="0" borderId="0" applyFont="0" applyFill="0" applyBorder="0" applyAlignment="0" applyProtection="0"/>
    <xf numFmtId="0" fontId="7" fillId="0" borderId="0"/>
    <xf numFmtId="0" fontId="36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8" fillId="0" borderId="0"/>
    <xf numFmtId="0" fontId="7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6" fillId="7" borderId="0" applyNumberFormat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98" fontId="73" fillId="0" borderId="0">
      <protection locked="0"/>
    </xf>
    <xf numFmtId="198" fontId="73" fillId="0" borderId="0">
      <protection locked="0"/>
    </xf>
    <xf numFmtId="0" fontId="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8" fillId="0" borderId="0" applyFont="0" applyFill="0" applyBorder="0" applyAlignment="0" applyProtection="0"/>
    <xf numFmtId="198" fontId="73" fillId="0" borderId="0">
      <protection locked="0"/>
    </xf>
    <xf numFmtId="0" fontId="7" fillId="0" borderId="0" applyFont="0" applyFill="0" applyBorder="0" applyAlignment="0" applyProtection="0"/>
    <xf numFmtId="198" fontId="73" fillId="0" borderId="0">
      <protection locked="0"/>
    </xf>
    <xf numFmtId="42" fontId="31" fillId="0" borderId="0" applyFont="0" applyFill="0" applyBorder="0" applyAlignment="0" applyProtection="0">
      <alignment vertical="center"/>
    </xf>
    <xf numFmtId="0" fontId="7" fillId="0" borderId="0"/>
    <xf numFmtId="198" fontId="73" fillId="0" borderId="0">
      <protection locked="0"/>
    </xf>
    <xf numFmtId="203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0" borderId="0">
      <alignment vertical="center"/>
    </xf>
    <xf numFmtId="0" fontId="5" fillId="0" borderId="0"/>
    <xf numFmtId="0" fontId="31" fillId="0" borderId="0">
      <alignment vertical="center"/>
    </xf>
    <xf numFmtId="0" fontId="78" fillId="0" borderId="0">
      <alignment vertical="center"/>
    </xf>
    <xf numFmtId="0" fontId="31" fillId="0" borderId="0">
      <alignment vertical="center"/>
    </xf>
    <xf numFmtId="0" fontId="5" fillId="0" borderId="0"/>
    <xf numFmtId="0" fontId="32" fillId="0" borderId="0">
      <alignment vertical="center"/>
    </xf>
    <xf numFmtId="0" fontId="5" fillId="0" borderId="0">
      <alignment vertical="center"/>
    </xf>
    <xf numFmtId="0" fontId="35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5" fillId="0" borderId="0"/>
    <xf numFmtId="0" fontId="78" fillId="0" borderId="0">
      <alignment vertical="center"/>
    </xf>
    <xf numFmtId="0" fontId="5" fillId="0" borderId="0"/>
    <xf numFmtId="0" fontId="31" fillId="0" borderId="0">
      <alignment vertical="center"/>
    </xf>
    <xf numFmtId="0" fontId="5" fillId="0" borderId="0">
      <alignment vertical="center"/>
    </xf>
    <xf numFmtId="0" fontId="35" fillId="0" borderId="0"/>
    <xf numFmtId="0" fontId="5" fillId="0" borderId="0">
      <alignment vertical="center"/>
    </xf>
    <xf numFmtId="0" fontId="1" fillId="0" borderId="0">
      <alignment vertical="center"/>
    </xf>
    <xf numFmtId="0" fontId="35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5" fillId="0" borderId="0"/>
    <xf numFmtId="0" fontId="5" fillId="0" borderId="0"/>
    <xf numFmtId="0" fontId="7" fillId="0" borderId="0"/>
    <xf numFmtId="0" fontId="35" fillId="0" borderId="0"/>
    <xf numFmtId="0" fontId="5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>
      <alignment vertical="center"/>
    </xf>
    <xf numFmtId="0" fontId="35" fillId="0" borderId="0"/>
    <xf numFmtId="0" fontId="35" fillId="0" borderId="0"/>
    <xf numFmtId="0" fontId="5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0" fontId="5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0" fontId="5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0" fontId="5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204" fontId="1" fillId="0" borderId="0">
      <alignment vertical="center"/>
    </xf>
    <xf numFmtId="0" fontId="79" fillId="0" borderId="0"/>
    <xf numFmtId="0" fontId="67" fillId="0" borderId="9" applyNumberFormat="0" applyFont="0" applyFill="0" applyAlignment="0" applyProtection="0"/>
    <xf numFmtId="0" fontId="47" fillId="0" borderId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5" fillId="0" borderId="0"/>
    <xf numFmtId="0" fontId="105" fillId="0" borderId="0"/>
    <xf numFmtId="0" fontId="108" fillId="0" borderId="0"/>
    <xf numFmtId="0" fontId="111" fillId="0" borderId="0"/>
    <xf numFmtId="0" fontId="5" fillId="0" borderId="0"/>
    <xf numFmtId="216" fontId="105" fillId="0" borderId="0" applyFont="0" applyFill="0" applyBorder="0" applyAlignment="0" applyProtection="0"/>
    <xf numFmtId="0" fontId="125" fillId="0" borderId="0"/>
  </cellStyleXfs>
  <cellXfs count="199">
    <xf numFmtId="0" fontId="0" fillId="0" borderId="0" xfId="0">
      <alignment vertical="center"/>
    </xf>
    <xf numFmtId="0" fontId="4" fillId="0" borderId="0" xfId="0" applyFont="1">
      <alignment vertical="center"/>
    </xf>
    <xf numFmtId="0" fontId="3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Fill="1">
      <alignment vertical="center"/>
    </xf>
    <xf numFmtId="0" fontId="80" fillId="0" borderId="0" xfId="0" applyFont="1" applyFill="1">
      <alignment vertical="center"/>
    </xf>
    <xf numFmtId="49" fontId="83" fillId="3" borderId="1" xfId="0" applyNumberFormat="1" applyFont="1" applyFill="1" applyBorder="1" applyAlignment="1">
      <alignment horizontal="center" vertical="center"/>
    </xf>
    <xf numFmtId="184" fontId="83" fillId="3" borderId="1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3" fillId="4" borderId="1" xfId="111" applyFont="1" applyFill="1" applyBorder="1" applyAlignment="1">
      <alignment horizontal="center" vertical="center" wrapText="1"/>
    </xf>
    <xf numFmtId="0" fontId="86" fillId="0" borderId="0" xfId="117" applyFont="1" applyFill="1" applyAlignment="1">
      <alignment vertical="center"/>
    </xf>
    <xf numFmtId="0" fontId="87" fillId="0" borderId="0" xfId="117" applyFont="1" applyFill="1" applyAlignment="1">
      <alignment vertical="center"/>
    </xf>
    <xf numFmtId="0" fontId="89" fillId="0" borderId="0" xfId="117" applyFont="1" applyFill="1" applyAlignment="1">
      <alignment vertical="center"/>
    </xf>
    <xf numFmtId="0" fontId="89" fillId="0" borderId="0" xfId="117" applyFont="1" applyFill="1" applyAlignment="1">
      <alignment horizontal="center" vertical="center"/>
    </xf>
    <xf numFmtId="0" fontId="87" fillId="0" borderId="11" xfId="117" applyFont="1" applyFill="1" applyBorder="1" applyAlignment="1">
      <alignment vertical="center"/>
    </xf>
    <xf numFmtId="0" fontId="90" fillId="8" borderId="0" xfId="117" applyFont="1" applyFill="1" applyBorder="1" applyAlignment="1">
      <alignment vertical="center"/>
    </xf>
    <xf numFmtId="0" fontId="89" fillId="0" borderId="12" xfId="117" applyFont="1" applyFill="1" applyBorder="1" applyAlignment="1">
      <alignment vertical="center"/>
    </xf>
    <xf numFmtId="0" fontId="89" fillId="0" borderId="10" xfId="117" applyFont="1" applyFill="1" applyBorder="1" applyAlignment="1">
      <alignment vertical="center"/>
    </xf>
    <xf numFmtId="205" fontId="89" fillId="0" borderId="10" xfId="117" applyNumberFormat="1" applyFont="1" applyFill="1" applyBorder="1" applyAlignment="1">
      <alignment horizontal="center" vertical="center"/>
    </xf>
    <xf numFmtId="205" fontId="89" fillId="0" borderId="10" xfId="117" applyNumberFormat="1" applyFont="1" applyFill="1" applyBorder="1" applyAlignment="1">
      <alignment vertical="center"/>
    </xf>
    <xf numFmtId="0" fontId="89" fillId="8" borderId="0" xfId="117" applyFont="1" applyFill="1" applyBorder="1" applyAlignment="1">
      <alignment vertical="center"/>
    </xf>
    <xf numFmtId="0" fontId="89" fillId="8" borderId="0" xfId="118" applyFont="1" applyFill="1" applyAlignment="1">
      <alignment vertical="center"/>
    </xf>
    <xf numFmtId="0" fontId="87" fillId="0" borderId="13" xfId="117" applyFont="1" applyFill="1" applyBorder="1" applyAlignment="1">
      <alignment vertical="center"/>
    </xf>
    <xf numFmtId="0" fontId="89" fillId="0" borderId="13" xfId="117" applyFont="1" applyFill="1" applyBorder="1" applyAlignment="1">
      <alignment vertical="center"/>
    </xf>
    <xf numFmtId="0" fontId="87" fillId="0" borderId="14" xfId="117" applyFont="1" applyFill="1" applyBorder="1" applyAlignment="1">
      <alignment vertical="center"/>
    </xf>
    <xf numFmtId="0" fontId="89" fillId="8" borderId="10" xfId="118" applyFont="1" applyFill="1" applyBorder="1" applyAlignment="1">
      <alignment vertical="center"/>
    </xf>
    <xf numFmtId="0" fontId="89" fillId="0" borderId="10" xfId="117" applyFont="1" applyFill="1" applyBorder="1" applyAlignment="1">
      <alignment horizontal="center" vertical="center"/>
    </xf>
    <xf numFmtId="0" fontId="89" fillId="0" borderId="12" xfId="117" applyFont="1" applyFill="1" applyBorder="1" applyAlignment="1">
      <alignment horizontal="center" vertical="center"/>
    </xf>
    <xf numFmtId="0" fontId="87" fillId="0" borderId="0" xfId="117" applyFont="1" applyFill="1" applyAlignment="1">
      <alignment horizontal="left" vertical="center"/>
    </xf>
    <xf numFmtId="0" fontId="90" fillId="8" borderId="0" xfId="1281" applyFont="1" applyFill="1" applyBorder="1" applyAlignment="1">
      <alignment vertical="center"/>
    </xf>
    <xf numFmtId="0" fontId="89" fillId="0" borderId="0" xfId="117" applyFont="1" applyFill="1" applyBorder="1" applyAlignment="1">
      <alignment vertical="center"/>
    </xf>
    <xf numFmtId="0" fontId="89" fillId="0" borderId="0" xfId="117" applyFont="1" applyFill="1" applyBorder="1" applyAlignment="1">
      <alignment horizontal="center" vertical="center"/>
    </xf>
    <xf numFmtId="0" fontId="89" fillId="0" borderId="14" xfId="117" applyFont="1" applyFill="1" applyBorder="1" applyAlignment="1">
      <alignment vertical="center"/>
    </xf>
    <xf numFmtId="0" fontId="89" fillId="8" borderId="0" xfId="1281" applyFont="1" applyFill="1" applyBorder="1" applyAlignment="1">
      <alignment vertical="center"/>
    </xf>
    <xf numFmtId="0" fontId="94" fillId="0" borderId="14" xfId="117" applyFont="1" applyFill="1" applyBorder="1" applyAlignment="1">
      <alignment vertical="center"/>
    </xf>
    <xf numFmtId="0" fontId="94" fillId="0" borderId="0" xfId="117" applyFont="1" applyFill="1" applyBorder="1" applyAlignment="1">
      <alignment vertical="center"/>
    </xf>
    <xf numFmtId="0" fontId="90" fillId="8" borderId="0" xfId="1281" applyFont="1" applyFill="1" applyBorder="1" applyAlignment="1">
      <alignment horizontal="left" vertical="center"/>
    </xf>
    <xf numFmtId="0" fontId="90" fillId="8" borderId="10" xfId="1281" applyFont="1" applyFill="1" applyBorder="1" applyAlignment="1">
      <alignment horizontal="left" vertical="center"/>
    </xf>
    <xf numFmtId="0" fontId="89" fillId="8" borderId="10" xfId="117" applyFont="1" applyFill="1" applyBorder="1" applyAlignment="1">
      <alignment vertical="center"/>
    </xf>
    <xf numFmtId="0" fontId="97" fillId="0" borderId="0" xfId="117" applyFont="1" applyAlignment="1">
      <alignment horizontal="left" vertical="center"/>
    </xf>
    <xf numFmtId="0" fontId="97" fillId="0" borderId="10" xfId="117" applyFont="1" applyBorder="1" applyAlignment="1">
      <alignment horizontal="left" vertical="center"/>
    </xf>
    <xf numFmtId="0" fontId="90" fillId="0" borderId="0" xfId="117" applyFont="1" applyFill="1" applyBorder="1" applyAlignment="1">
      <alignment vertical="center"/>
    </xf>
    <xf numFmtId="0" fontId="98" fillId="0" borderId="13" xfId="117" applyFont="1" applyFill="1" applyBorder="1" applyAlignment="1">
      <alignment horizontal="left" vertical="center"/>
    </xf>
    <xf numFmtId="0" fontId="87" fillId="0" borderId="13" xfId="117" applyFont="1" applyFill="1" applyBorder="1" applyAlignment="1">
      <alignment horizontal="left" vertical="center"/>
    </xf>
    <xf numFmtId="0" fontId="87" fillId="0" borderId="11" xfId="117" applyFont="1" applyFill="1" applyBorder="1" applyAlignment="1">
      <alignment horizontal="left" vertical="center"/>
    </xf>
    <xf numFmtId="0" fontId="87" fillId="0" borderId="15" xfId="117" applyFont="1" applyFill="1" applyBorder="1" applyAlignment="1">
      <alignment vertical="center"/>
    </xf>
    <xf numFmtId="0" fontId="87" fillId="0" borderId="0" xfId="117" applyFont="1" applyFill="1" applyBorder="1" applyAlignment="1">
      <alignment vertical="center"/>
    </xf>
    <xf numFmtId="0" fontId="87" fillId="0" borderId="14" xfId="117" applyFont="1" applyFill="1" applyBorder="1" applyAlignment="1">
      <alignment horizontal="left" vertical="center"/>
    </xf>
    <xf numFmtId="0" fontId="87" fillId="0" borderId="0" xfId="117" applyFont="1" applyFill="1" applyBorder="1" applyAlignment="1">
      <alignment horizontal="left" vertical="center"/>
    </xf>
    <xf numFmtId="0" fontId="87" fillId="0" borderId="17" xfId="117" applyFont="1" applyFill="1" applyBorder="1" applyAlignment="1">
      <alignment vertical="center"/>
    </xf>
    <xf numFmtId="0" fontId="90" fillId="0" borderId="12" xfId="117" applyFont="1" applyFill="1" applyBorder="1" applyAlignment="1">
      <alignment vertical="center"/>
    </xf>
    <xf numFmtId="0" fontId="90" fillId="0" borderId="10" xfId="117" applyFont="1" applyFill="1" applyBorder="1" applyAlignment="1">
      <alignment vertical="center"/>
    </xf>
    <xf numFmtId="0" fontId="99" fillId="0" borderId="0" xfId="117" applyFont="1" applyFill="1" applyAlignment="1">
      <alignment horizontal="left" vertical="center"/>
    </xf>
    <xf numFmtId="0" fontId="101" fillId="4" borderId="1" xfId="117" applyFont="1" applyFill="1" applyBorder="1" applyAlignment="1">
      <alignment horizontal="center" vertical="center" wrapText="1"/>
    </xf>
    <xf numFmtId="0" fontId="101" fillId="4" borderId="7" xfId="117" applyFont="1" applyFill="1" applyBorder="1" applyAlignment="1">
      <alignment horizontal="center" vertical="center" wrapText="1"/>
    </xf>
    <xf numFmtId="0" fontId="5" fillId="0" borderId="0" xfId="117" applyFont="1" applyFill="1" applyAlignment="1">
      <alignment vertical="center"/>
    </xf>
    <xf numFmtId="0" fontId="7" fillId="0" borderId="1" xfId="118" applyFont="1" applyFill="1" applyBorder="1" applyAlignment="1">
      <alignment horizontal="center" vertical="center" shrinkToFit="1"/>
    </xf>
    <xf numFmtId="207" fontId="7" fillId="0" borderId="1" xfId="118" applyNumberFormat="1" applyFont="1" applyFill="1" applyBorder="1" applyAlignment="1">
      <alignment horizontal="right" vertical="center" shrinkToFit="1"/>
    </xf>
    <xf numFmtId="208" fontId="7" fillId="0" borderId="1" xfId="117" applyNumberFormat="1" applyFont="1" applyFill="1" applyBorder="1" applyAlignment="1">
      <alignment horizontal="left" vertical="center" shrinkToFit="1"/>
    </xf>
    <xf numFmtId="208" fontId="7" fillId="0" borderId="5" xfId="117" applyNumberFormat="1" applyFont="1" applyFill="1" applyBorder="1" applyAlignment="1">
      <alignment horizontal="left" vertical="center" shrinkToFit="1"/>
    </xf>
    <xf numFmtId="184" fontId="7" fillId="0" borderId="1" xfId="117" applyNumberFormat="1" applyFont="1" applyFill="1" applyBorder="1" applyAlignment="1">
      <alignment horizontal="center" vertical="center" shrinkToFit="1"/>
    </xf>
    <xf numFmtId="41" fontId="89" fillId="0" borderId="0" xfId="1280" applyFont="1" applyFill="1" applyAlignment="1">
      <alignment vertical="center"/>
    </xf>
    <xf numFmtId="209" fontId="7" fillId="9" borderId="14" xfId="117" applyNumberFormat="1" applyFont="1" applyFill="1" applyBorder="1" applyAlignment="1">
      <alignment horizontal="center" vertical="center" shrinkToFit="1"/>
    </xf>
    <xf numFmtId="209" fontId="7" fillId="9" borderId="0" xfId="117" applyNumberFormat="1" applyFont="1" applyFill="1" applyBorder="1" applyAlignment="1">
      <alignment horizontal="left" vertical="center" shrinkToFit="1"/>
    </xf>
    <xf numFmtId="0" fontId="7" fillId="8" borderId="1" xfId="117" applyNumberFormat="1" applyFont="1" applyFill="1" applyBorder="1" applyAlignment="1">
      <alignment horizontal="center" vertical="center"/>
    </xf>
    <xf numFmtId="0" fontId="7" fillId="8" borderId="1" xfId="117" applyFont="1" applyFill="1" applyBorder="1" applyAlignment="1">
      <alignment horizontal="center" vertical="center" wrapText="1"/>
    </xf>
    <xf numFmtId="207" fontId="7" fillId="8" borderId="1" xfId="103" applyNumberFormat="1" applyFont="1" applyFill="1" applyBorder="1" applyAlignment="1">
      <alignment horizontal="right" vertical="center" wrapText="1"/>
    </xf>
    <xf numFmtId="208" fontId="7" fillId="0" borderId="1" xfId="117" applyNumberFormat="1" applyFont="1" applyFill="1" applyBorder="1" applyAlignment="1">
      <alignment horizontal="center" vertical="center"/>
    </xf>
    <xf numFmtId="208" fontId="7" fillId="0" borderId="5" xfId="117" applyNumberFormat="1" applyFont="1" applyFill="1" applyBorder="1" applyAlignment="1">
      <alignment horizontal="left" vertical="center"/>
    </xf>
    <xf numFmtId="49" fontId="7" fillId="0" borderId="1" xfId="117" applyNumberFormat="1" applyFont="1" applyFill="1" applyBorder="1" applyAlignment="1">
      <alignment horizontal="center" vertical="center"/>
    </xf>
    <xf numFmtId="184" fontId="7" fillId="0" borderId="1" xfId="117" applyNumberFormat="1" applyFont="1" applyFill="1" applyBorder="1" applyAlignment="1">
      <alignment horizontal="center" vertical="center"/>
    </xf>
    <xf numFmtId="0" fontId="89" fillId="0" borderId="0" xfId="117" applyFont="1" applyFill="1" applyBorder="1" applyAlignment="1">
      <alignment horizontal="center" vertical="center" shrinkToFit="1"/>
    </xf>
    <xf numFmtId="0" fontId="104" fillId="0" borderId="1" xfId="117" applyFont="1" applyFill="1" applyBorder="1" applyAlignment="1">
      <alignment horizontal="center" vertical="center" wrapText="1"/>
    </xf>
    <xf numFmtId="207" fontId="104" fillId="8" borderId="1" xfId="103" applyNumberFormat="1" applyFont="1" applyFill="1" applyBorder="1" applyAlignment="1">
      <alignment horizontal="right" vertical="center" wrapText="1"/>
    </xf>
    <xf numFmtId="210" fontId="104" fillId="0" borderId="1" xfId="117" applyNumberFormat="1" applyFont="1" applyFill="1" applyBorder="1" applyAlignment="1">
      <alignment vertical="center"/>
    </xf>
    <xf numFmtId="211" fontId="104" fillId="0" borderId="1" xfId="117" applyNumberFormat="1" applyFont="1" applyFill="1" applyBorder="1" applyAlignment="1">
      <alignment horizontal="left" vertical="center"/>
    </xf>
    <xf numFmtId="49" fontId="104" fillId="0" borderId="1" xfId="117" applyNumberFormat="1" applyFont="1" applyFill="1" applyBorder="1" applyAlignment="1">
      <alignment horizontal="center" vertical="center"/>
    </xf>
    <xf numFmtId="184" fontId="104" fillId="0" borderId="1" xfId="117" applyNumberFormat="1" applyFont="1" applyFill="1" applyBorder="1" applyAlignment="1">
      <alignment horizontal="center" vertical="center"/>
    </xf>
    <xf numFmtId="212" fontId="89" fillId="0" borderId="0" xfId="117" applyNumberFormat="1" applyFont="1" applyFill="1" applyAlignment="1">
      <alignment vertical="center"/>
    </xf>
    <xf numFmtId="213" fontId="89" fillId="0" borderId="0" xfId="117" applyNumberFormat="1" applyFont="1" applyFill="1" applyAlignment="1">
      <alignment horizontal="left" vertical="center"/>
    </xf>
    <xf numFmtId="41" fontId="89" fillId="0" borderId="0" xfId="103" applyFont="1" applyFill="1" applyAlignment="1">
      <alignment horizontal="left" vertical="center"/>
    </xf>
    <xf numFmtId="42" fontId="89" fillId="0" borderId="0" xfId="117" applyNumberFormat="1" applyFont="1" applyFill="1" applyBorder="1" applyAlignment="1">
      <alignment horizontal="left" vertical="center"/>
    </xf>
    <xf numFmtId="0" fontId="89" fillId="0" borderId="0" xfId="117" applyFont="1" applyFill="1" applyAlignment="1">
      <alignment horizontal="right" vertical="center"/>
    </xf>
    <xf numFmtId="0" fontId="106" fillId="0" borderId="0" xfId="1282" applyFont="1" applyAlignment="1">
      <alignment vertical="center"/>
    </xf>
    <xf numFmtId="0" fontId="107" fillId="0" borderId="0" xfId="1282" applyFont="1" applyAlignment="1">
      <alignment vertical="center"/>
    </xf>
    <xf numFmtId="0" fontId="111" fillId="0" borderId="0" xfId="1282" applyFont="1" applyAlignment="1">
      <alignment vertical="center"/>
    </xf>
    <xf numFmtId="0" fontId="110" fillId="0" borderId="0" xfId="1283" applyFont="1" applyFill="1" applyAlignment="1">
      <alignment vertical="center" wrapText="1"/>
    </xf>
    <xf numFmtId="0" fontId="110" fillId="0" borderId="0" xfId="1283" applyFont="1" applyFill="1" applyAlignment="1">
      <alignment vertical="center"/>
    </xf>
    <xf numFmtId="0" fontId="112" fillId="0" borderId="0" xfId="1283" applyFont="1" applyFill="1" applyAlignment="1">
      <alignment vertical="center"/>
    </xf>
    <xf numFmtId="0" fontId="113" fillId="0" borderId="0" xfId="1283" applyFont="1" applyFill="1" applyAlignment="1">
      <alignment horizontal="right" vertical="center"/>
    </xf>
    <xf numFmtId="0" fontId="115" fillId="0" borderId="0" xfId="1283" applyFont="1" applyFill="1" applyAlignment="1">
      <alignment vertical="center"/>
    </xf>
    <xf numFmtId="0" fontId="116" fillId="0" borderId="0" xfId="1283" applyFont="1" applyFill="1" applyAlignment="1">
      <alignment vertical="center"/>
    </xf>
    <xf numFmtId="0" fontId="113" fillId="0" borderId="0" xfId="1283" applyFont="1" applyFill="1" applyAlignment="1">
      <alignment vertical="center"/>
    </xf>
    <xf numFmtId="0" fontId="6" fillId="0" borderId="0" xfId="1282" applyFont="1" applyAlignment="1">
      <alignment vertical="center"/>
    </xf>
    <xf numFmtId="0" fontId="116" fillId="0" borderId="0" xfId="1282" applyFont="1" applyAlignment="1">
      <alignment vertical="center"/>
    </xf>
    <xf numFmtId="0" fontId="6" fillId="0" borderId="0" xfId="1283" quotePrefix="1" applyFont="1" applyFill="1" applyAlignment="1">
      <alignment vertical="center"/>
    </xf>
    <xf numFmtId="0" fontId="6" fillId="0" borderId="0" xfId="1283" applyFont="1" applyFill="1" applyAlignment="1">
      <alignment horizontal="center" vertical="center"/>
    </xf>
    <xf numFmtId="0" fontId="6" fillId="0" borderId="0" xfId="1283" applyFont="1" applyFill="1" applyAlignment="1">
      <alignment vertical="center"/>
    </xf>
    <xf numFmtId="215" fontId="6" fillId="0" borderId="0" xfId="1283" applyNumberFormat="1" applyFont="1" applyFill="1" applyAlignment="1">
      <alignment vertical="center"/>
    </xf>
    <xf numFmtId="0" fontId="6" fillId="0" borderId="0" xfId="1284" quotePrefix="1" applyFont="1" applyFill="1" applyAlignment="1">
      <alignment vertical="center"/>
    </xf>
    <xf numFmtId="0" fontId="6" fillId="0" borderId="0" xfId="963" applyFont="1" applyAlignment="1">
      <alignment vertical="center"/>
    </xf>
    <xf numFmtId="0" fontId="117" fillId="0" borderId="0" xfId="1283" applyFont="1" applyFill="1" applyAlignment="1">
      <alignment vertical="center"/>
    </xf>
    <xf numFmtId="0" fontId="117" fillId="0" borderId="0" xfId="1283" applyFont="1" applyFill="1" applyAlignment="1">
      <alignment horizontal="left" vertical="center"/>
    </xf>
    <xf numFmtId="0" fontId="6" fillId="0" borderId="0" xfId="1285" applyFont="1" applyBorder="1" applyAlignment="1">
      <alignment vertical="center"/>
    </xf>
    <xf numFmtId="0" fontId="118" fillId="0" borderId="0" xfId="1283" applyFont="1" applyFill="1" applyBorder="1" applyAlignment="1">
      <alignment vertical="center"/>
    </xf>
    <xf numFmtId="0" fontId="6" fillId="0" borderId="0" xfId="1283" applyFont="1" applyFill="1" applyBorder="1" applyAlignment="1">
      <alignment horizontal="left" vertical="center"/>
    </xf>
    <xf numFmtId="0" fontId="118" fillId="0" borderId="0" xfId="1283" applyFont="1" applyFill="1" applyBorder="1" applyAlignment="1">
      <alignment horizontal="left" vertical="center"/>
    </xf>
    <xf numFmtId="0" fontId="119" fillId="0" borderId="0" xfId="1283" applyFont="1" applyFill="1" applyBorder="1" applyAlignment="1">
      <alignment horizontal="left" vertical="center"/>
    </xf>
    <xf numFmtId="0" fontId="120" fillId="4" borderId="1" xfId="117" applyFont="1" applyFill="1" applyBorder="1" applyAlignment="1">
      <alignment horizontal="center" vertical="center"/>
    </xf>
    <xf numFmtId="0" fontId="120" fillId="4" borderId="1" xfId="117" applyFont="1" applyFill="1" applyBorder="1" applyAlignment="1">
      <alignment horizontal="center" vertical="center" wrapText="1"/>
    </xf>
    <xf numFmtId="0" fontId="121" fillId="8" borderId="1" xfId="117" applyNumberFormat="1" applyFont="1" applyFill="1" applyBorder="1" applyAlignment="1">
      <alignment horizontal="center" vertical="center" shrinkToFit="1"/>
    </xf>
    <xf numFmtId="208" fontId="121" fillId="8" borderId="1" xfId="117" applyNumberFormat="1" applyFont="1" applyFill="1" applyBorder="1" applyAlignment="1">
      <alignment horizontal="center" vertical="center"/>
    </xf>
    <xf numFmtId="207" fontId="122" fillId="4" borderId="1" xfId="103" applyNumberFormat="1" applyFont="1" applyFill="1" applyBorder="1" applyAlignment="1">
      <alignment horizontal="right" vertical="center"/>
    </xf>
    <xf numFmtId="208" fontId="122" fillId="4" borderId="1" xfId="117" applyNumberFormat="1" applyFont="1" applyFill="1" applyBorder="1" applyAlignment="1">
      <alignment horizontal="center" vertical="center"/>
    </xf>
    <xf numFmtId="217" fontId="122" fillId="4" borderId="1" xfId="117" applyNumberFormat="1" applyFont="1" applyFill="1" applyBorder="1" applyAlignment="1">
      <alignment horizontal="center" vertical="center"/>
    </xf>
    <xf numFmtId="0" fontId="113" fillId="0" borderId="0" xfId="1282" applyFont="1" applyAlignment="1">
      <alignment horizontal="left" vertical="center"/>
    </xf>
    <xf numFmtId="0" fontId="113" fillId="0" borderId="0" xfId="1282" applyFont="1" applyAlignment="1">
      <alignment vertical="center"/>
    </xf>
    <xf numFmtId="0" fontId="110" fillId="0" borderId="0" xfId="1283" applyFont="1" applyFill="1" applyBorder="1" applyAlignment="1">
      <alignment horizontal="left" vertical="center"/>
    </xf>
    <xf numFmtId="0" fontId="110" fillId="0" borderId="0" xfId="1283" applyFont="1" applyFill="1" applyBorder="1" applyAlignment="1">
      <alignment horizontal="center" vertical="center"/>
    </xf>
    <xf numFmtId="0" fontId="110" fillId="0" borderId="0" xfId="1283" applyFont="1" applyFill="1" applyBorder="1" applyAlignment="1">
      <alignment vertical="center"/>
    </xf>
    <xf numFmtId="218" fontId="123" fillId="0" borderId="0" xfId="1283" applyNumberFormat="1" applyFont="1" applyFill="1" applyBorder="1" applyAlignment="1">
      <alignment horizontal="center" vertical="center"/>
    </xf>
    <xf numFmtId="0" fontId="123" fillId="0" borderId="0" xfId="1283" applyFont="1" applyFill="1" applyBorder="1" applyAlignment="1">
      <alignment horizontal="center" vertical="center"/>
    </xf>
    <xf numFmtId="0" fontId="124" fillId="0" borderId="0" xfId="1283" applyFont="1" applyFill="1" applyAlignment="1">
      <alignment horizontal="left" vertical="center"/>
    </xf>
    <xf numFmtId="0" fontId="110" fillId="0" borderId="0" xfId="1283" applyFont="1" applyFill="1" applyAlignment="1">
      <alignment horizontal="left" vertical="center"/>
    </xf>
    <xf numFmtId="0" fontId="6" fillId="0" borderId="0" xfId="1287" applyFont="1" applyFill="1" applyBorder="1" applyAlignment="1">
      <alignment horizontal="left" vertical="center"/>
    </xf>
    <xf numFmtId="0" fontId="110" fillId="0" borderId="0" xfId="1284" applyFont="1" applyFill="1" applyAlignment="1">
      <alignment vertical="center"/>
    </xf>
    <xf numFmtId="0" fontId="124" fillId="0" borderId="0" xfId="1283" applyFont="1" applyFill="1" applyAlignment="1">
      <alignment vertical="center"/>
    </xf>
    <xf numFmtId="0" fontId="126" fillId="0" borderId="0" xfId="1283" applyFont="1" applyFill="1" applyAlignment="1">
      <alignment vertical="center"/>
    </xf>
    <xf numFmtId="0" fontId="110" fillId="0" borderId="0" xfId="1283" applyFont="1" applyFill="1" applyAlignment="1">
      <alignment horizontal="center" vertical="center"/>
    </xf>
    <xf numFmtId="215" fontId="110" fillId="0" borderId="0" xfId="1283" applyNumberFormat="1" applyFont="1" applyFill="1" applyAlignment="1">
      <alignment vertical="center"/>
    </xf>
    <xf numFmtId="0" fontId="123" fillId="0" borderId="0" xfId="1283" applyFont="1" applyFill="1" applyAlignment="1">
      <alignment vertical="center"/>
    </xf>
    <xf numFmtId="215" fontId="123" fillId="0" borderId="0" xfId="1283" applyNumberFormat="1" applyFont="1" applyFill="1" applyAlignment="1">
      <alignment vertical="center"/>
    </xf>
    <xf numFmtId="215" fontId="124" fillId="0" borderId="0" xfId="1283" applyNumberFormat="1" applyFont="1" applyFill="1" applyAlignment="1">
      <alignment vertical="center"/>
    </xf>
    <xf numFmtId="0" fontId="110" fillId="0" borderId="0" xfId="1283" quotePrefix="1" applyFont="1" applyFill="1" applyAlignment="1">
      <alignment vertical="center"/>
    </xf>
    <xf numFmtId="0" fontId="33" fillId="4" borderId="1" xfId="111" applyFont="1" applyFill="1" applyBorder="1" applyAlignment="1">
      <alignment horizontal="center" vertical="center" wrapText="1"/>
    </xf>
    <xf numFmtId="0" fontId="33" fillId="4" borderId="1" xfId="111" applyFont="1" applyFill="1" applyBorder="1" applyAlignment="1">
      <alignment horizontal="center" vertical="center"/>
    </xf>
    <xf numFmtId="49" fontId="7" fillId="0" borderId="1" xfId="117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33" fillId="4" borderId="1" xfId="11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0" fontId="83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184" fontId="32" fillId="0" borderId="1" xfId="0" applyNumberFormat="1" applyFont="1" applyBorder="1" applyAlignment="1">
      <alignment horizontal="center" vertical="center"/>
    </xf>
    <xf numFmtId="184" fontId="32" fillId="0" borderId="1" xfId="0" applyNumberFormat="1" applyFont="1" applyBorder="1" applyAlignment="1">
      <alignment horizontal="center" vertical="center" wrapText="1"/>
    </xf>
    <xf numFmtId="42" fontId="89" fillId="0" borderId="0" xfId="119" applyFont="1" applyFill="1" applyBorder="1" applyAlignment="1">
      <alignment horizontal="center" vertical="center"/>
    </xf>
    <xf numFmtId="42" fontId="89" fillId="0" borderId="0" xfId="119" applyFont="1" applyFill="1" applyAlignment="1">
      <alignment horizontal="center" vertical="center"/>
    </xf>
    <xf numFmtId="0" fontId="103" fillId="0" borderId="11" xfId="117" applyFont="1" applyFill="1" applyBorder="1" applyAlignment="1">
      <alignment horizontal="center" vertical="center" wrapText="1" shrinkToFit="1"/>
    </xf>
    <xf numFmtId="0" fontId="103" fillId="0" borderId="15" xfId="117" applyFont="1" applyFill="1" applyBorder="1" applyAlignment="1">
      <alignment horizontal="center" vertical="center" wrapText="1" shrinkToFit="1"/>
    </xf>
    <xf numFmtId="0" fontId="7" fillId="0" borderId="14" xfId="117" applyFont="1" applyFill="1" applyBorder="1" applyAlignment="1">
      <alignment horizontal="center" vertical="center" shrinkToFit="1"/>
    </xf>
    <xf numFmtId="0" fontId="7" fillId="0" borderId="17" xfId="117" applyFont="1" applyFill="1" applyBorder="1" applyAlignment="1">
      <alignment horizontal="center" vertical="center" shrinkToFit="1"/>
    </xf>
    <xf numFmtId="209" fontId="7" fillId="0" borderId="14" xfId="117" applyNumberFormat="1" applyFont="1" applyFill="1" applyBorder="1" applyAlignment="1">
      <alignment horizontal="center" vertical="center" shrinkToFit="1"/>
    </xf>
    <xf numFmtId="209" fontId="7" fillId="0" borderId="17" xfId="117" applyNumberFormat="1" applyFont="1" applyFill="1" applyBorder="1" applyAlignment="1">
      <alignment horizontal="center" vertical="center" shrinkToFit="1"/>
    </xf>
    <xf numFmtId="0" fontId="7" fillId="0" borderId="0" xfId="117" applyFont="1" applyFill="1" applyBorder="1" applyAlignment="1">
      <alignment horizontal="center" vertical="center" shrinkToFit="1"/>
    </xf>
    <xf numFmtId="0" fontId="7" fillId="0" borderId="10" xfId="117" applyFont="1" applyFill="1" applyBorder="1" applyAlignment="1">
      <alignment horizontal="center" vertical="center" shrinkToFit="1"/>
    </xf>
    <xf numFmtId="0" fontId="7" fillId="0" borderId="16" xfId="117" applyFont="1" applyFill="1" applyBorder="1" applyAlignment="1">
      <alignment horizontal="center" vertical="center" shrinkToFit="1"/>
    </xf>
    <xf numFmtId="0" fontId="104" fillId="0" borderId="1" xfId="117" applyFont="1" applyFill="1" applyBorder="1" applyAlignment="1">
      <alignment horizontal="center" vertical="center" wrapText="1"/>
    </xf>
    <xf numFmtId="0" fontId="101" fillId="4" borderId="7" xfId="117" applyFont="1" applyFill="1" applyBorder="1" applyAlignment="1">
      <alignment horizontal="center" vertical="center" wrapText="1"/>
    </xf>
    <xf numFmtId="0" fontId="101" fillId="4" borderId="6" xfId="117" applyFont="1" applyFill="1" applyBorder="1" applyAlignment="1">
      <alignment horizontal="center" vertical="center" wrapText="1"/>
    </xf>
    <xf numFmtId="0" fontId="84" fillId="0" borderId="10" xfId="117" applyFont="1" applyFill="1" applyBorder="1" applyAlignment="1">
      <alignment horizontal="center" vertical="center"/>
    </xf>
    <xf numFmtId="0" fontId="92" fillId="3" borderId="14" xfId="117" applyNumberFormat="1" applyFont="1" applyFill="1" applyBorder="1" applyAlignment="1">
      <alignment horizontal="center" vertical="center"/>
    </xf>
    <xf numFmtId="0" fontId="92" fillId="3" borderId="0" xfId="117" applyNumberFormat="1" applyFont="1" applyFill="1" applyBorder="1" applyAlignment="1">
      <alignment horizontal="center" vertical="center"/>
    </xf>
    <xf numFmtId="206" fontId="93" fillId="3" borderId="14" xfId="117" applyNumberFormat="1" applyFont="1" applyFill="1" applyBorder="1" applyAlignment="1">
      <alignment horizontal="center" vertical="center"/>
    </xf>
    <xf numFmtId="206" fontId="93" fillId="3" borderId="0" xfId="117" applyNumberFormat="1" applyFont="1" applyFill="1" applyBorder="1" applyAlignment="1">
      <alignment horizontal="center" vertical="center"/>
    </xf>
    <xf numFmtId="0" fontId="95" fillId="0" borderId="14" xfId="117" applyNumberFormat="1" applyFont="1" applyFill="1" applyBorder="1" applyAlignment="1">
      <alignment horizontal="center" vertical="center"/>
    </xf>
    <xf numFmtId="0" fontId="95" fillId="0" borderId="0" xfId="117" applyNumberFormat="1" applyFont="1" applyFill="1" applyBorder="1" applyAlignment="1">
      <alignment horizontal="center" vertical="center"/>
    </xf>
    <xf numFmtId="0" fontId="89" fillId="0" borderId="14" xfId="117" applyFont="1" applyFill="1" applyBorder="1" applyAlignment="1">
      <alignment horizontal="center" vertical="center"/>
    </xf>
    <xf numFmtId="0" fontId="89" fillId="0" borderId="0" xfId="117" applyFont="1" applyFill="1" applyBorder="1" applyAlignment="1">
      <alignment horizontal="center" vertical="center"/>
    </xf>
    <xf numFmtId="0" fontId="89" fillId="8" borderId="10" xfId="117" applyFont="1" applyFill="1" applyBorder="1" applyAlignment="1">
      <alignment horizontal="center" vertical="center" wrapText="1"/>
    </xf>
    <xf numFmtId="0" fontId="89" fillId="8" borderId="16" xfId="117" applyFont="1" applyFill="1" applyBorder="1" applyAlignment="1">
      <alignment horizontal="center" vertical="center" wrapText="1"/>
    </xf>
    <xf numFmtId="0" fontId="89" fillId="0" borderId="12" xfId="117" applyFont="1" applyFill="1" applyBorder="1" applyAlignment="1">
      <alignment horizontal="center" vertical="center" wrapText="1"/>
    </xf>
    <xf numFmtId="0" fontId="89" fillId="0" borderId="10" xfId="117" applyFont="1" applyFill="1" applyBorder="1" applyAlignment="1">
      <alignment horizontal="center" vertical="center" wrapText="1"/>
    </xf>
    <xf numFmtId="0" fontId="89" fillId="0" borderId="16" xfId="117" applyFont="1" applyFill="1" applyBorder="1" applyAlignment="1">
      <alignment horizontal="center" vertical="center" wrapText="1"/>
    </xf>
    <xf numFmtId="0" fontId="89" fillId="0" borderId="10" xfId="117" applyFont="1" applyFill="1" applyBorder="1" applyAlignment="1">
      <alignment horizontal="center" vertical="center"/>
    </xf>
    <xf numFmtId="0" fontId="89" fillId="0" borderId="16" xfId="117" applyFont="1" applyFill="1" applyBorder="1" applyAlignment="1">
      <alignment horizontal="center" vertical="center"/>
    </xf>
    <xf numFmtId="205" fontId="89" fillId="0" borderId="12" xfId="117" applyNumberFormat="1" applyFont="1" applyFill="1" applyBorder="1" applyAlignment="1">
      <alignment horizontal="center" vertical="center"/>
    </xf>
    <xf numFmtId="205" fontId="89" fillId="0" borderId="10" xfId="117" applyNumberFormat="1" applyFont="1" applyFill="1" applyBorder="1" applyAlignment="1">
      <alignment horizontal="center" vertical="center"/>
    </xf>
    <xf numFmtId="205" fontId="89" fillId="0" borderId="16" xfId="117" applyNumberFormat="1" applyFont="1" applyFill="1" applyBorder="1" applyAlignment="1">
      <alignment horizontal="center" vertical="center"/>
    </xf>
    <xf numFmtId="0" fontId="100" fillId="0" borderId="0" xfId="117" applyFont="1" applyFill="1" applyAlignment="1">
      <alignment horizontal="center" vertical="center"/>
    </xf>
    <xf numFmtId="0" fontId="83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3" fillId="4" borderId="1" xfId="111" applyFont="1" applyFill="1" applyBorder="1" applyAlignment="1">
      <alignment horizontal="center" vertical="center" wrapText="1"/>
    </xf>
    <xf numFmtId="0" fontId="33" fillId="4" borderId="1" xfId="11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22" fillId="4" borderId="1" xfId="117" applyNumberFormat="1" applyFont="1" applyFill="1" applyBorder="1" applyAlignment="1">
      <alignment horizontal="center" vertical="center"/>
    </xf>
    <xf numFmtId="0" fontId="127" fillId="0" borderId="0" xfId="1283" applyFont="1" applyFill="1" applyAlignment="1">
      <alignment horizontal="center" vertical="center"/>
    </xf>
    <xf numFmtId="0" fontId="109" fillId="0" borderId="0" xfId="1283" applyFont="1" applyFill="1" applyAlignment="1">
      <alignment horizontal="center" vertical="center" wrapText="1"/>
    </xf>
    <xf numFmtId="0" fontId="110" fillId="0" borderId="0" xfId="1283" applyFont="1" applyFill="1" applyAlignment="1">
      <alignment horizontal="right" vertical="center"/>
    </xf>
    <xf numFmtId="0" fontId="114" fillId="10" borderId="0" xfId="1283" applyFont="1" applyFill="1" applyAlignment="1">
      <alignment horizontal="center" vertical="center"/>
    </xf>
    <xf numFmtId="214" fontId="115" fillId="0" borderId="0" xfId="1283" applyNumberFormat="1" applyFont="1" applyFill="1" applyAlignment="1">
      <alignment horizontal="left" vertical="center"/>
    </xf>
    <xf numFmtId="214" fontId="114" fillId="10" borderId="0" xfId="1283" applyNumberFormat="1" applyFont="1" applyFill="1" applyAlignment="1">
      <alignment horizontal="center" vertical="center"/>
    </xf>
    <xf numFmtId="217" fontId="114" fillId="10" borderId="0" xfId="1286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</cellXfs>
  <cellStyles count="1288">
    <cellStyle name="          _x000d__x000a_mouse.drv=lmouse.drv" xfId="120"/>
    <cellStyle name="??&amp;O?&amp;H?_x0008__x000f__x0007_?_x0007__x0001__x0001_" xfId="2"/>
    <cellStyle name="??&amp;O?&amp;H?_x0008__x000f__x0007_?_x0007__x0001__x0001_ 2" xfId="121"/>
    <cellStyle name="??&amp;O?&amp;H?_x0008_??_x0007__x0001__x0001_" xfId="3"/>
    <cellStyle name="??&amp;O?&amp;H?_x0008_??_x0007__x0001__x0001_ 10" xfId="122"/>
    <cellStyle name="??&amp;O?&amp;H?_x0008_??_x0007__x0001__x0001_ 11" xfId="123"/>
    <cellStyle name="??&amp;O?&amp;H?_x0008_??_x0007__x0001__x0001_ 12" xfId="124"/>
    <cellStyle name="??&amp;O?&amp;H?_x0008_??_x0007__x0001__x0001_ 13" xfId="125"/>
    <cellStyle name="??&amp;O?&amp;H?_x0008_??_x0007__x0001__x0001_ 14" xfId="126"/>
    <cellStyle name="??&amp;O?&amp;H?_x0008_??_x0007__x0001__x0001_ 15" xfId="127"/>
    <cellStyle name="??&amp;O?&amp;H?_x0008_??_x0007__x0001__x0001_ 16" xfId="128"/>
    <cellStyle name="??&amp;O?&amp;H?_x0008_??_x0007__x0001__x0001_ 2" xfId="129"/>
    <cellStyle name="??&amp;O?&amp;H?_x0008_??_x0007__x0001__x0001_ 3" xfId="130"/>
    <cellStyle name="??&amp;O?&amp;H?_x0008_??_x0007__x0001__x0001_ 4" xfId="131"/>
    <cellStyle name="??&amp;O?&amp;H?_x0008_??_x0007__x0001__x0001_ 5" xfId="132"/>
    <cellStyle name="??&amp;O?&amp;H?_x0008_??_x0007__x0001__x0001_ 6" xfId="133"/>
    <cellStyle name="??&amp;O?&amp;H?_x0008_??_x0007__x0001__x0001_ 7" xfId="134"/>
    <cellStyle name="??&amp;O?&amp;H?_x0008_??_x0007__x0001__x0001_ 8" xfId="135"/>
    <cellStyle name="??&amp;O?&amp;H?_x0008_??_x0007__x0001__x0001_ 9" xfId="136"/>
    <cellStyle name="??&amp;O?&amp;H?_x0008__x000f__x0007_?_x0007__x0001__x0001__一般贸易进口合同" xfId="137"/>
    <cellStyle name="??&amp;O?쪯?_x0008__x000f__x0007_?_x0007__x0001__x0001_" xfId="138"/>
    <cellStyle name="?”´?_REV3 " xfId="139"/>
    <cellStyle name="?k?Tl익" xfId="4"/>
    <cellStyle name="?k?Tl익 10" xfId="140"/>
    <cellStyle name="?k?Tl익 11" xfId="141"/>
    <cellStyle name="?k?Tl익 12" xfId="142"/>
    <cellStyle name="?k?Tl익 13" xfId="143"/>
    <cellStyle name="?k?Tl익 14" xfId="144"/>
    <cellStyle name="?k?Tl익 15" xfId="145"/>
    <cellStyle name="?k?Tl익 16" xfId="146"/>
    <cellStyle name="?k?Tl익 2" xfId="147"/>
    <cellStyle name="?k?Tl익 3" xfId="148"/>
    <cellStyle name="?k?Tl익 4" xfId="149"/>
    <cellStyle name="?k?Tl익 5" xfId="150"/>
    <cellStyle name="?k?Tl익 6" xfId="151"/>
    <cellStyle name="?k?Tl익 7" xfId="152"/>
    <cellStyle name="?k?Tl익 8" xfId="153"/>
    <cellStyle name="?k?Tl익 9" xfId="154"/>
    <cellStyle name="_07-09-09(by the sea)" xfId="155"/>
    <cellStyle name="_07-09-09(by the sea)_DV07-AMT1012" xfId="156"/>
    <cellStyle name="_07-09-09(by the sea)_SD071121(DV)" xfId="157"/>
    <cellStyle name="_1.점도측정기(슬러리점도)R&amp;R_prg(05.7.12)" xfId="158"/>
    <cellStyle name="_10.21" xfId="5"/>
    <cellStyle name="_10월 19일 선적분" xfId="159"/>
    <cellStyle name="_10월,11월발주서 (071108)" xfId="160"/>
    <cellStyle name="_10월18일 KIT화 선적" xfId="161"/>
    <cellStyle name="_10월발주서(10-29)" xfId="162"/>
    <cellStyle name="_10月製造流程單追蹤表" xfId="6"/>
    <cellStyle name="_11월23일 선적리스트(디스크 소체)" xfId="163"/>
    <cellStyle name="_12月製造流程單追蹤表" xfId="7"/>
    <cellStyle name="_1월부터7월 정리" xfId="164"/>
    <cellStyle name="_1월부터8월 정리" xfId="165"/>
    <cellStyle name="_2000년1월양산" xfId="166"/>
    <cellStyle name="_2000년2월양산" xfId="167"/>
    <cellStyle name="_2001년2월양산" xfId="168"/>
    <cellStyle name="_2005년12월 구형설비 (12.17)" xfId="8"/>
    <cellStyle name="_2005년12월측정설비(12.29)" xfId="9"/>
    <cellStyle name="_2006년 9월1주차 산동발송(소자)" xfId="10"/>
    <cellStyle name="_2006년1월 구형설비자료 (1.13)" xfId="11"/>
    <cellStyle name="_2006년9월2주차 산동발송(소자)" xfId="12"/>
    <cellStyle name="_2007년 05년 출고계획_5.2" xfId="169"/>
    <cellStyle name="_5월출고0504 (2)" xfId="170"/>
    <cellStyle name="_6월수주0504 (2)" xfId="171"/>
    <cellStyle name="_6월수주0525 (2)" xfId="172"/>
    <cellStyle name="_6월수주0602 (2)" xfId="173"/>
    <cellStyle name="_7月製造流程單追蹤表" xfId="13"/>
    <cellStyle name="_8월수책 변경 조정의 건" xfId="14"/>
    <cellStyle name="_AMO06080201-C-S" xfId="30"/>
    <cellStyle name="_APR.4月-E001-F" xfId="31"/>
    <cellStyle name="_APR.4月-E001-F 10" xfId="174"/>
    <cellStyle name="_APR.4月-E001-F 11" xfId="175"/>
    <cellStyle name="_APR.4月-E001-F 12" xfId="176"/>
    <cellStyle name="_APR.4月-E001-F 13" xfId="177"/>
    <cellStyle name="_APR.4月-E001-F 14" xfId="178"/>
    <cellStyle name="_APR.4月-E001-F 15" xfId="179"/>
    <cellStyle name="_APR.4月-E001-F 16" xfId="180"/>
    <cellStyle name="_APR.4月-E001-F 17" xfId="181"/>
    <cellStyle name="_APR.4月-E001-F 2" xfId="182"/>
    <cellStyle name="_APR.4月-E001-F 3" xfId="183"/>
    <cellStyle name="_APR.4月-E001-F 4" xfId="184"/>
    <cellStyle name="_APR.4月-E001-F 5" xfId="185"/>
    <cellStyle name="_APR.4月-E001-F 6" xfId="186"/>
    <cellStyle name="_APR.4月-E001-F 7" xfId="187"/>
    <cellStyle name="_APR.4月-E001-F 8" xfId="188"/>
    <cellStyle name="_APR.4月-E001-F 9" xfId="189"/>
    <cellStyle name="_A倉(7月)成品庫存" xfId="28"/>
    <cellStyle name="_A倉(8月)成品庫存" xfId="29"/>
    <cellStyle name="_Book1" xfId="190"/>
    <cellStyle name="_Book1_8월 선적자재" xfId="191"/>
    <cellStyle name="_Book1_8월 선적자재_DV07-AMT1012" xfId="192"/>
    <cellStyle name="_Book1_8월 선적자재_SD071121(DV)" xfId="193"/>
    <cellStyle name="_China-PROJECT(rev3)-1.2" xfId="32"/>
    <cellStyle name="_CP PFMEA rev01" xfId="194"/>
    <cellStyle name="_DEC.12月" xfId="33"/>
    <cellStyle name="_DEC.12月 10" xfId="195"/>
    <cellStyle name="_DEC.12月 11" xfId="196"/>
    <cellStyle name="_DEC.12月 12" xfId="197"/>
    <cellStyle name="_DEC.12月 13" xfId="198"/>
    <cellStyle name="_DEC.12月 14" xfId="199"/>
    <cellStyle name="_DEC.12月 15" xfId="200"/>
    <cellStyle name="_DEC.12月 16" xfId="201"/>
    <cellStyle name="_DEC.12月 17" xfId="202"/>
    <cellStyle name="_DEC.12月 2" xfId="203"/>
    <cellStyle name="_DEC.12月 3" xfId="204"/>
    <cellStyle name="_DEC.12月 4" xfId="205"/>
    <cellStyle name="_DEC.12月 5" xfId="206"/>
    <cellStyle name="_DEC.12月 6" xfId="207"/>
    <cellStyle name="_DEC.12月 7" xfId="208"/>
    <cellStyle name="_DEC.12月 8" xfId="209"/>
    <cellStyle name="_DEC.12月 9" xfId="210"/>
    <cellStyle name="_disk전자장책" xfId="211"/>
    <cellStyle name="_EF001(AUG.)" xfId="34"/>
    <cellStyle name="_EF001(AUG.) 10" xfId="212"/>
    <cellStyle name="_EF001(AUG.) 11" xfId="213"/>
    <cellStyle name="_EF001(AUG.) 12" xfId="214"/>
    <cellStyle name="_EF001(AUG.) 13" xfId="215"/>
    <cellStyle name="_EF001(AUG.) 14" xfId="216"/>
    <cellStyle name="_EF001(AUG.) 15" xfId="217"/>
    <cellStyle name="_EF001(AUG.) 16" xfId="218"/>
    <cellStyle name="_EF001(AUG.) 17" xfId="219"/>
    <cellStyle name="_EF001(AUG.) 2" xfId="220"/>
    <cellStyle name="_EF001(AUG.) 3" xfId="221"/>
    <cellStyle name="_EF001(AUG.) 4" xfId="222"/>
    <cellStyle name="_EF001(AUG.) 5" xfId="223"/>
    <cellStyle name="_EF001(AUG.) 6" xfId="224"/>
    <cellStyle name="_EF001(AUG.) 7" xfId="225"/>
    <cellStyle name="_EF001(AUG.) 8" xfId="226"/>
    <cellStyle name="_EF001(AUG.) 9" xfId="227"/>
    <cellStyle name="_EF001(Oct.)" xfId="35"/>
    <cellStyle name="_EF001(Oct.) 10" xfId="228"/>
    <cellStyle name="_EF001(Oct.) 11" xfId="229"/>
    <cellStyle name="_EF001(Oct.) 12" xfId="230"/>
    <cellStyle name="_EF001(Oct.) 13" xfId="231"/>
    <cellStyle name="_EF001(Oct.) 14" xfId="232"/>
    <cellStyle name="_EF001(Oct.) 15" xfId="233"/>
    <cellStyle name="_EF001(Oct.) 16" xfId="234"/>
    <cellStyle name="_EF001(Oct.) 17" xfId="235"/>
    <cellStyle name="_EF001(Oct.) 2" xfId="236"/>
    <cellStyle name="_EF001(Oct.) 3" xfId="237"/>
    <cellStyle name="_EF001(Oct.) 4" xfId="238"/>
    <cellStyle name="_EF001(Oct.) 5" xfId="239"/>
    <cellStyle name="_EF001(Oct.) 6" xfId="240"/>
    <cellStyle name="_EF001(Oct.) 7" xfId="241"/>
    <cellStyle name="_EF001(Oct.) 8" xfId="242"/>
    <cellStyle name="_EF001(Oct.) 9" xfId="243"/>
    <cellStyle name="_FEB(2006)" xfId="36"/>
    <cellStyle name="_FEB(2006) 10" xfId="244"/>
    <cellStyle name="_FEB(2006) 11" xfId="245"/>
    <cellStyle name="_FEB(2006) 12" xfId="246"/>
    <cellStyle name="_FEB(2006) 13" xfId="247"/>
    <cellStyle name="_FEB(2006) 14" xfId="248"/>
    <cellStyle name="_FEB(2006) 15" xfId="249"/>
    <cellStyle name="_FEB(2006) 16" xfId="250"/>
    <cellStyle name="_FEB(2006) 17" xfId="251"/>
    <cellStyle name="_FEB(2006) 2" xfId="252"/>
    <cellStyle name="_FEB(2006) 3" xfId="253"/>
    <cellStyle name="_FEB(2006) 4" xfId="254"/>
    <cellStyle name="_FEB(2006) 5" xfId="255"/>
    <cellStyle name="_FEB(2006) 6" xfId="256"/>
    <cellStyle name="_FEB(2006) 7" xfId="257"/>
    <cellStyle name="_FEB(2006) 8" xfId="258"/>
    <cellStyle name="_FEB(2006) 9" xfId="259"/>
    <cellStyle name="_foxz" xfId="37"/>
    <cellStyle name="_JM 사전품질확보계획_추가수정_0318" xfId="260"/>
    <cellStyle name="_JM신뢰성계획_실험팀" xfId="261"/>
    <cellStyle name="_JUL7月" xfId="38"/>
    <cellStyle name="_JUL7月 10" xfId="262"/>
    <cellStyle name="_JUL7月 11" xfId="263"/>
    <cellStyle name="_JUL7月 12" xfId="264"/>
    <cellStyle name="_JUL7月 13" xfId="265"/>
    <cellStyle name="_JUL7月 14" xfId="266"/>
    <cellStyle name="_JUL7月 15" xfId="267"/>
    <cellStyle name="_JUL7月 16" xfId="268"/>
    <cellStyle name="_JUL7月 17" xfId="269"/>
    <cellStyle name="_JUL7月 2" xfId="270"/>
    <cellStyle name="_JUL7月 3" xfId="271"/>
    <cellStyle name="_JUL7月 4" xfId="272"/>
    <cellStyle name="_JUL7月 5" xfId="273"/>
    <cellStyle name="_JUL7月 6" xfId="274"/>
    <cellStyle name="_JUL7月 7" xfId="275"/>
    <cellStyle name="_JUL7月 8" xfId="276"/>
    <cellStyle name="_JUL7月 9" xfId="277"/>
    <cellStyle name="_LD사전품질확보계획(양식)" xfId="278"/>
    <cellStyle name="_L-O최종" xfId="279"/>
    <cellStyle name="_L-O최종_1" xfId="280"/>
    <cellStyle name="_L-O최종_2" xfId="281"/>
    <cellStyle name="_L-O최종_2_(CPP-04-01)계약심사,처리규정개정" xfId="282"/>
    <cellStyle name="_L-O최종_3" xfId="283"/>
    <cellStyle name="_L-O최종_4" xfId="284"/>
    <cellStyle name="_L-O최종_5" xfId="285"/>
    <cellStyle name="_L-O최종_5_(CPP-04-01)계약심사,처리규정개정" xfId="286"/>
    <cellStyle name="_L-O최종_6" xfId="287"/>
    <cellStyle name="_L-O최종_7" xfId="288"/>
    <cellStyle name="_L-O최종_8" xfId="289"/>
    <cellStyle name="_L-O최종_9" xfId="290"/>
    <cellStyle name="_L-O최종_9_(CPP-04-01)계약심사,처리규정개정" xfId="291"/>
    <cellStyle name="_ms" xfId="292"/>
    <cellStyle name="_MW Spare Part 산동(1017) (1)" xfId="39"/>
    <cellStyle name="_NEW_CRV_HVAC분석_DCC" xfId="293"/>
    <cellStyle name="_Order(EF001)" xfId="40"/>
    <cellStyle name="_packinglist060830(by sea)1" xfId="41"/>
    <cellStyle name="_PO(발주서10월)" xfId="42"/>
    <cellStyle name="_SD 060925 INCA - 4565" xfId="43"/>
    <cellStyle name="_SD MW MC 051015선적분(1014)" xfId="44"/>
    <cellStyle name="_SD MW MC 060228" xfId="45"/>
    <cellStyle name="_WK50 總排程" xfId="46"/>
    <cellStyle name="_개발부품확보계획1차1210" xfId="294"/>
    <cellStyle name="_개발부품확보계획2차1210" xfId="295"/>
    <cellStyle name="_검사구준비현황-외주" xfId="296"/>
    <cellStyle name="_노광및롤링기(11.2)" xfId="297"/>
    <cellStyle name="_델파이" xfId="298"/>
    <cellStyle name="_디스크임자출(9월26일 디스크 선적분)" xfId="15"/>
    <cellStyle name="_부품품질특성분석(HOOD)" xfId="299"/>
    <cellStyle name="_산동element list(060809)" xfId="16"/>
    <cellStyle name="_산동아모텍 안테나 조직도" xfId="300"/>
    <cellStyle name="_생산설비준비현황-외주" xfId="301"/>
    <cellStyle name="_설비 전체 리스트(1004)" xfId="17"/>
    <cellStyle name="_성형공정 수책신고 BOM" xfId="18"/>
    <cellStyle name="_성형공정품의(1010)" xfId="19"/>
    <cellStyle name="_스크린제작설비및피파인쇄기이관" xfId="20"/>
    <cellStyle name="_안테나 임가공비 예상공정 CAPA (성형)051006" xfId="21"/>
    <cellStyle name="_안테나수책 5차분(2.28선적)" xfId="22"/>
    <cellStyle name="_월500K설비 매각 보고서(1010)" xfId="23"/>
    <cellStyle name="_임가공비 현황" xfId="24"/>
    <cellStyle name="_자체 ISIR 양식(고객제출용020503)" xfId="302"/>
    <cellStyle name="_중국 가공계약서" xfId="303"/>
    <cellStyle name="_중국 가공계약서 2" xfId="304"/>
    <cellStyle name="_중국 가공계약서 3" xfId="305"/>
    <cellStyle name="_중국 가공계약서_5월현장 자재 정산(참고)" xfId="306"/>
    <cellStyle name="_중국 가공계약서_5월현장 자재 정산(참고) 2" xfId="307"/>
    <cellStyle name="_중국 가공계약서_CORE6월" xfId="308"/>
    <cellStyle name="_중국 가공계약서_CORE6월 2" xfId="309"/>
    <cellStyle name="_중국 가공계약서_CORE6월 현장재고조사표" xfId="310"/>
    <cellStyle name="_중국 가공계약서_CORE6월 현장재고조사표 2" xfId="311"/>
    <cellStyle name="_중국 가공계약서_산동 아모스 임가공 단가 계약서.xls(현재071126)" xfId="312"/>
    <cellStyle name="_중국 가공계약서_산동 아모스 임가공 단가 계약서.xls(현재071126) 2" xfId="313"/>
    <cellStyle name="_중국 가공계약서_산동 아모스 임가공 단가 계약서.xls(현재071126)_5월현장 자재 정산(참고)" xfId="314"/>
    <cellStyle name="_중국 가공계약서_산동 아모스 임가공 단가 계약서.xls(현재071126)_5월현장 자재 정산(참고) 2" xfId="315"/>
    <cellStyle name="_중국 가공계약서_산동 아모스 임가공 단가 계약서.xls(현재071126)_CORE6월" xfId="316"/>
    <cellStyle name="_중국 가공계약서_산동 아모스 임가공 단가 계약서.xls(현재071126)_CORE6월 2" xfId="317"/>
    <cellStyle name="_중국 가공계약서_산동 아모스 임가공 단가 계약서.xls(현재071126)_CORE6월 현장재고조사표" xfId="318"/>
    <cellStyle name="_중국 가공계약서_산동 아모스 임가공 단가 계약서.xls(현재071126)_CORE6월 현장재고조사표 2" xfId="319"/>
    <cellStyle name="_중국 가공계약서_안테나 선적 11월24일(매각자재)" xfId="320"/>
    <cellStyle name="_중국 가공계약서_안테나 선적 11월24일(매각자재)_一般贸易进口合同" xfId="321"/>
    <cellStyle name="_중국 가공계약서_안테나 선적 11월29일(매각자재)" xfId="322"/>
    <cellStyle name="_중국 가공계약서_안테나 선적 11월29일(매각자재)_一般贸易进口合同" xfId="323"/>
    <cellStyle name="_중국 가공계약서_안테나 선적 12월01일(매각자재)" xfId="324"/>
    <cellStyle name="_중국 가공계약서_안테나 선적 12월01일(매각자재)_1" xfId="325"/>
    <cellStyle name="_중국 가공계약서_안테나 선적 12월01일(매각자재)_1_一般贸易进口合同" xfId="326"/>
    <cellStyle name="_중국 가공계약서_안테나 선적 12월01일(매각자재)_一般贸易进口合同" xfId="327"/>
    <cellStyle name="_중국 가공계약서_안테나 선적 12월08일(매각자재)" xfId="328"/>
    <cellStyle name="_중국 가공계약서_안테나 선적 12월08일(매각자재)_一般贸易进口合同" xfId="329"/>
    <cellStyle name="_중국 가공계약서_안테나 선적 12월08일(신규전자장책)" xfId="330"/>
    <cellStyle name="_지그준비현황-외주" xfId="331"/>
    <cellStyle name="_출고예정소자리스트" xfId="25"/>
    <cellStyle name="_폐수설비 파트 리스트(1221)" xfId="26"/>
    <cellStyle name="_폐수설비 파트 리스트(1221)(1)" xfId="27"/>
    <cellStyle name="0,0_x000d__x000a_NA_x000d__x000a_" xfId="47"/>
    <cellStyle name="0뾍R_x0005_?뾍b_x0005_" xfId="332"/>
    <cellStyle name="19990216" xfId="48"/>
    <cellStyle name="95262" xfId="333"/>
    <cellStyle name="A¨­￠￢￠O [0]_          " xfId="334"/>
    <cellStyle name="A¨­￠￢￠O_          " xfId="335"/>
    <cellStyle name="AeE­ [0]_          " xfId="336"/>
    <cellStyle name="ÅëÈ­ [0]_¡Ú¾ÈÜ¬ Á¾ÇÕºñ±³ " xfId="337"/>
    <cellStyle name="AeE­ [0]_¿i¿μ¾E " xfId="338"/>
    <cellStyle name="ÅëÈ­ [0]_¼­½ÄÃ¼°è_ÅõÀÔ°èÈ¹ " xfId="339"/>
    <cellStyle name="AeE­ [0]_¼­½AA¼01_AoAO°eE¹ " xfId="340"/>
    <cellStyle name="ÅëÈ­ [0]_¼­½ÄÃ¼01_ÅõÀÔ°èÈ¹ " xfId="341"/>
    <cellStyle name="AeE­ [0]_¼­½AAI¶÷_AoAO°eE¹ " xfId="342"/>
    <cellStyle name="ÅëÈ­ [0]_¼­½ÄÀÏ¶÷_ÅõÀÔ°èÈ¹ " xfId="343"/>
    <cellStyle name="AeE­ [0]_¾c½A " xfId="344"/>
    <cellStyle name="ÅëÈ­ [0]_1.ÆÇ¸Å½ÇÀû " xfId="345"/>
    <cellStyle name="AeE­ [0]_1.ÆC¸A½CAu _BL 부품개발계획서" xfId="346"/>
    <cellStyle name="ÅëÈ­ [0]_1.SUMMARY " xfId="347"/>
    <cellStyle name="AeE­ [0]_1.SUMMARY _BL 부품개발계획서" xfId="348"/>
    <cellStyle name="ÅëÈ­ [0]_2.CONCEPT " xfId="349"/>
    <cellStyle name="AeE­ [0]_2.CONCEPT _BL 부품개발계획서" xfId="350"/>
    <cellStyle name="ÅëÈ­ [0]_3PJTR°èÈ¹ " xfId="351"/>
    <cellStyle name="AeE­ [0]_4 " xfId="352"/>
    <cellStyle name="ÅëÈ­ [0]_4 " xfId="353"/>
    <cellStyle name="AeE­ [0]_4 _BL 부품개발계획서" xfId="354"/>
    <cellStyle name="ÅëÈ­ [0]_6-3°æÀï·Â " xfId="355"/>
    <cellStyle name="AeE­ [0]_7.MASTER SCHEDULE " xfId="356"/>
    <cellStyle name="ÅëÈ­ [0]_7.MASTER SCHEDULE " xfId="357"/>
    <cellStyle name="AeE­ [0]_7.MASTER SCHEDULE _BL 부품개발계획서" xfId="358"/>
    <cellStyle name="ÅëÈ­ [0]_Á¦Á¶1ºÎ1°ú ÇöÈ² " xfId="359"/>
    <cellStyle name="AeE­ [0]_Ac°i°u¸R " xfId="360"/>
    <cellStyle name="ÅëÈ­ [0]_ÀÎ¿ø°èÈ¹ " xfId="361"/>
    <cellStyle name="AeE­ [0]_AOA¾AIA¤ " xfId="362"/>
    <cellStyle name="ÅëÈ­ [0]_ÃÖÁ¾ÀÏÁ¤ " xfId="363"/>
    <cellStyle name="AeE­ [0]_AOA¾AIA¤ _BL 부품개발계획서" xfId="364"/>
    <cellStyle name="ÅëÈ­ [0]_INQUIRY ¿µ¾÷ÃßÁø " xfId="365"/>
    <cellStyle name="AeE­ [0]_INQUIRY ¿μ¾÷AßAø " xfId="366"/>
    <cellStyle name="ÅëÈ­ [0]_lx-taxi " xfId="367"/>
    <cellStyle name="AeE­ [0]_MKN-M1.1 " xfId="368"/>
    <cellStyle name="ÅëÈ­ [0]_MKN-M1.1 " xfId="369"/>
    <cellStyle name="AeE­ [0]_ºÐ·u±a01_AoAO°eE¹ " xfId="370"/>
    <cellStyle name="ÅëÈ­ [0]_ºÐ·ù±â01_ÅõÀÔ°èÈ¹ " xfId="371"/>
    <cellStyle name="AeE­ [0]_ºÐ·u±a02_AoAO°eE¹ " xfId="372"/>
    <cellStyle name="ÅëÈ­ [0]_ºÐ·ù±â02_ÅõÀÔ°èÈ¹ " xfId="373"/>
    <cellStyle name="AeE­ [0]_ºÐ·u±a03_AoAO°eE¹ " xfId="374"/>
    <cellStyle name="ÅëÈ­ [0]_ºÐ·ù±â03_ÅõÀÔ°èÈ¹ " xfId="375"/>
    <cellStyle name="AeE­ [0]_ºÐ·u±aAØ_AoAO°eE¹ " xfId="376"/>
    <cellStyle name="ÅëÈ­ [0]_ºÐ·ù±âÁØ_ÅõÀÔ°èÈ¹ " xfId="377"/>
    <cellStyle name="AeE­ [0]_ºÐ·u±aE￡_AoAO°eE¹ " xfId="378"/>
    <cellStyle name="ÅëÈ­ [0]_ºÐ·ù±âÈ£_ÅõÀÔ°èÈ¹ " xfId="379"/>
    <cellStyle name="AeE­ [0]_PERSONAL" xfId="380"/>
    <cellStyle name="ÅëÈ­ [0]_SAMPLE " xfId="381"/>
    <cellStyle name="AeE­ [0]_SAMPLE _BL 부품개발계획서" xfId="382"/>
    <cellStyle name="ÅëÈ­ [0]_Sheet1 (2)_1.SUMMARY " xfId="383"/>
    <cellStyle name="AeE­ [0]_Sheet1 (2)_1.SUMMARY _BL 부품개발계획서" xfId="384"/>
    <cellStyle name="ÅëÈ­ [0]_Sheet1_1.SUMMARY " xfId="385"/>
    <cellStyle name="AeE­ [0]_Sheet1_3.MSCHEDULE¿μ¹R " xfId="386"/>
    <cellStyle name="ÅëÈ­ [0]_Sheet1_ÃÖÁ¾ÀÏÁ¤ " xfId="387"/>
    <cellStyle name="AeE­ [0]_Sheet1_XD AOA¾AIA¤ " xfId="388"/>
    <cellStyle name="ÅëÈ­ [0]_Sheet1_XD ÃÖÁ¾ÀÏÁ¤ " xfId="389"/>
    <cellStyle name="AeE­ [0]_SMG-CKD-d1.1 " xfId="390"/>
    <cellStyle name="ÅëÈ­ [0]_SMG-CKD-d1.1 " xfId="391"/>
    <cellStyle name="AeE­ [0]_SP ¹°μ¿¹× ¿UAO " xfId="392"/>
    <cellStyle name="AeE­_          " xfId="393"/>
    <cellStyle name="ÅëÈ­_¡Ú¾ÈÜ¬ Á¾ÇÕºñ±³ " xfId="394"/>
    <cellStyle name="AeE­_¿i¿μ¾E " xfId="395"/>
    <cellStyle name="ÅëÈ­_¼­½ÄÃ¼°è_ÅõÀÔ°èÈ¹ " xfId="396"/>
    <cellStyle name="AeE­_¼­½AA¼01_AoAO°eE¹ " xfId="397"/>
    <cellStyle name="ÅëÈ­_¼­½ÄÃ¼01_ÅõÀÔ°èÈ¹ " xfId="398"/>
    <cellStyle name="AeE­_¼­½AAI¶÷_AoAO°eE¹ " xfId="399"/>
    <cellStyle name="ÅëÈ­_¼­½ÄÀÏ¶÷_ÅõÀÔ°èÈ¹ " xfId="400"/>
    <cellStyle name="AeE­_¾c½A " xfId="401"/>
    <cellStyle name="ÅëÈ­_1.ÆÇ¸Å½ÇÀû " xfId="402"/>
    <cellStyle name="AeE­_1.SUMMARY " xfId="403"/>
    <cellStyle name="ÅëÈ­_1.SUMMARY " xfId="404"/>
    <cellStyle name="AeE­_2.CONCEPT " xfId="405"/>
    <cellStyle name="ÅëÈ­_2.CONCEPT " xfId="406"/>
    <cellStyle name="AeE­_3.MSCHEDULE¿μ¹R " xfId="407"/>
    <cellStyle name="ÅëÈ­_3PJTR°èÈ¹ " xfId="408"/>
    <cellStyle name="AeE­_4 " xfId="409"/>
    <cellStyle name="ÅëÈ­_4 " xfId="410"/>
    <cellStyle name="AeE­_6-3°æAi·A " xfId="411"/>
    <cellStyle name="ÅëÈ­_6-3°æÀï·Â " xfId="412"/>
    <cellStyle name="AeE­_7.MASTER SCHEDULE " xfId="413"/>
    <cellStyle name="ÅëÈ­_7.MASTER SCHEDULE " xfId="414"/>
    <cellStyle name="AeE­_Ac°i°u¸R " xfId="415"/>
    <cellStyle name="ÅëÈ­_ÀÎ¿ø°èÈ¹ " xfId="416"/>
    <cellStyle name="AeE­_AOA¾AIA¤ " xfId="417"/>
    <cellStyle name="ÅëÈ­_ÃÖÁ¾ÀÏÁ¤ " xfId="418"/>
    <cellStyle name="AeE­_INQUIRY ¿μ¾÷AßAø " xfId="419"/>
    <cellStyle name="ÅëÈ­_lx-taxi " xfId="420"/>
    <cellStyle name="AeE­_MKN-M1.1 " xfId="421"/>
    <cellStyle name="ÅëÈ­_MKN-M1.1 " xfId="422"/>
    <cellStyle name="AeE­_ºÐ·u±a01_AoAO°eE¹ " xfId="423"/>
    <cellStyle name="ÅëÈ­_ºÐ·ù±â01_ÅõÀÔ°èÈ¹ " xfId="424"/>
    <cellStyle name="AeE­_ºÐ·u±a02_AoAO°eE¹ " xfId="425"/>
    <cellStyle name="ÅëÈ­_ºÐ·ù±â02_ÅõÀÔ°èÈ¹ " xfId="426"/>
    <cellStyle name="AeE­_ºÐ·u±a03_AoAO°eE¹ " xfId="427"/>
    <cellStyle name="ÅëÈ­_ºÐ·ù±â03_ÅõÀÔ°èÈ¹ " xfId="428"/>
    <cellStyle name="AeE­_ºÐ·u±aAØ_AoAO°eE¹ " xfId="429"/>
    <cellStyle name="ÅëÈ­_ºÐ·ù±âÁØ_ÅõÀÔ°èÈ¹ " xfId="430"/>
    <cellStyle name="AeE­_ºÐ·u±aE￡_AoAO°eE¹ " xfId="431"/>
    <cellStyle name="ÅëÈ­_ºÐ·ù±âÈ£_ÅõÀÔ°èÈ¹ " xfId="432"/>
    <cellStyle name="AeE­_PERSONAL" xfId="433"/>
    <cellStyle name="ÅëÈ­_SAMPLE " xfId="434"/>
    <cellStyle name="AeE­_Sheet1 (2)_1.SUMMARY " xfId="435"/>
    <cellStyle name="ÅëÈ­_Sheet1 (2)_1.SUMMARY " xfId="436"/>
    <cellStyle name="AeE­_Sheet1 (2)_3.MSCHEDULE¿μ¹R " xfId="437"/>
    <cellStyle name="ÅëÈ­_Sheet1_1.SUMMARY " xfId="438"/>
    <cellStyle name="AeE­_Sheet1_3.MSCHEDULE¿μ¹R " xfId="439"/>
    <cellStyle name="ÅëÈ­_Sheet1_ÃÖÁ¾ÀÏÁ¤ " xfId="440"/>
    <cellStyle name="AeE­_Sheet1_XD AOA¾AIA¤ " xfId="441"/>
    <cellStyle name="ÅëÈ­_Sheet1_XD ÃÖÁ¾ÀÏÁ¤ " xfId="442"/>
    <cellStyle name="AeE­_SMG-CKD-d1.1 " xfId="443"/>
    <cellStyle name="ÅëÈ­_SMG-CKD-d1.1 " xfId="444"/>
    <cellStyle name="AeE­_SP ¹°μ¿¹× ¿UAO " xfId="445"/>
    <cellStyle name="AeE¡ⓒ [0]_          " xfId="446"/>
    <cellStyle name="AeE¡ⓒ_          " xfId="447"/>
    <cellStyle name="ALIGNMENT" xfId="448"/>
    <cellStyle name="args.style" xfId="449"/>
    <cellStyle name="AÞ¸¶ [0]_          " xfId="450"/>
    <cellStyle name="ÄÞ¸¶ [0]_¡Ú¾ÈÜ¬ Á¾ÇÕºñ±³ " xfId="451"/>
    <cellStyle name="AÞ¸¶ [0]_¿i¿μ¾E " xfId="452"/>
    <cellStyle name="ÄÞ¸¶ [0]_¾÷Á¾º° " xfId="453"/>
    <cellStyle name="AÞ¸¶ [0]_¾c½A " xfId="454"/>
    <cellStyle name="ÄÞ¸¶ [0]_1.ÆÇ¸Å½ÇÀû " xfId="455"/>
    <cellStyle name="AÞ¸¶ [0]_1.SUMMARY " xfId="456"/>
    <cellStyle name="ÄÞ¸¶ [0]_1.SUMMARY " xfId="457"/>
    <cellStyle name="AÞ¸¶ [0]_2.CONCEPT " xfId="458"/>
    <cellStyle name="ÄÞ¸¶ [0]_2.CONCEPT " xfId="459"/>
    <cellStyle name="AÞ¸¶ [0]_3.MSCHEDULE¿μ¹R " xfId="460"/>
    <cellStyle name="ÄÞ¸¶ [0]_3PJTR°èÈ¹ " xfId="461"/>
    <cellStyle name="AÞ¸¶ [0]_4 " xfId="462"/>
    <cellStyle name="ÄÞ¸¶ [0]_4 " xfId="463"/>
    <cellStyle name="AÞ¸¶ [0]_6-3°æAi·A " xfId="464"/>
    <cellStyle name="ÄÞ¸¶ [0]_6-3°æÀï·Â " xfId="465"/>
    <cellStyle name="AÞ¸¶ [0]_7.MASTER SCHEDULE " xfId="466"/>
    <cellStyle name="ÄÞ¸¶ [0]_7.MASTER SCHEDULE " xfId="467"/>
    <cellStyle name="AÞ¸¶ [0]_Ac°i°u¸R " xfId="468"/>
    <cellStyle name="ÄÞ¸¶ [0]_ÀÎ¿ø°èÈ¹ " xfId="469"/>
    <cellStyle name="AÞ¸¶ [0]_AOA¾AIA¤ " xfId="470"/>
    <cellStyle name="ÄÞ¸¶ [0]_ÃÖÁ¾ÀÏÁ¤ " xfId="471"/>
    <cellStyle name="AÞ¸¶ [0]_INQUIRY ¿μ¾÷AßAø " xfId="472"/>
    <cellStyle name="ÄÞ¸¶ [0]_lx-taxi " xfId="473"/>
    <cellStyle name="AÞ¸¶ [0]_MKN-M1.1 " xfId="474"/>
    <cellStyle name="ÄÞ¸¶ [0]_MKN-M1.1 " xfId="475"/>
    <cellStyle name="AÞ¸¶ [0]_SAMPLE " xfId="476"/>
    <cellStyle name="ÄÞ¸¶ [0]_SAMPLE " xfId="477"/>
    <cellStyle name="AÞ¸¶ [0]_Sheet1 (2)_1.SUMMARY " xfId="478"/>
    <cellStyle name="ÄÞ¸¶ [0]_Sheet1 (2)_1.SUMMARY " xfId="479"/>
    <cellStyle name="AÞ¸¶ [0]_Sheet1 (2)_3.MSCHEDULE¿μ¹R " xfId="480"/>
    <cellStyle name="ÄÞ¸¶ [0]_Sheet1_1.SUMMARY " xfId="481"/>
    <cellStyle name="AÞ¸¶ [0]_Sheet1_3.MSCHEDULE¿μ¹R " xfId="482"/>
    <cellStyle name="ÄÞ¸¶ [0]_Sheet1_ÃÖÁ¾ÀÏÁ¤ " xfId="483"/>
    <cellStyle name="AÞ¸¶ [0]_Sheet1_XD AOA¾AIA¤ " xfId="484"/>
    <cellStyle name="ÄÞ¸¶ [0]_Sheet1_XD ÃÖÁ¾ÀÏÁ¤ " xfId="485"/>
    <cellStyle name="AÞ¸¶ [0]_SMG-CKD-d1.1 " xfId="486"/>
    <cellStyle name="ÄÞ¸¶ [0]_SMG-CKD-d1.1 " xfId="487"/>
    <cellStyle name="AÞ¸¶ [0]_SP ¹°μ¿¹× ¿UAO " xfId="488"/>
    <cellStyle name="AÞ¸¶_          " xfId="489"/>
    <cellStyle name="ÄÞ¸¶_¡Ú¾ÈÜ¬ Á¾ÇÕºñ±³ " xfId="490"/>
    <cellStyle name="AÞ¸¶_¿i¿μ¾E " xfId="491"/>
    <cellStyle name="ÄÞ¸¶_¾÷Á¾º° " xfId="492"/>
    <cellStyle name="AÞ¸¶_¾c½A " xfId="493"/>
    <cellStyle name="ÄÞ¸¶_1.ÆÇ¸Å½ÇÀû " xfId="494"/>
    <cellStyle name="AÞ¸¶_1.SUMMARY " xfId="495"/>
    <cellStyle name="ÄÞ¸¶_1.SUMMARY " xfId="496"/>
    <cellStyle name="AÞ¸¶_1.SUMMARY _BL 부품개발계획서" xfId="497"/>
    <cellStyle name="ÄÞ¸¶_2.CONCEPT " xfId="498"/>
    <cellStyle name="AÞ¸¶_2.CONCEPT _BL 부품개발계획서" xfId="499"/>
    <cellStyle name="ÄÞ¸¶_3PJTR°èÈ¹ " xfId="500"/>
    <cellStyle name="AÞ¸¶_4 " xfId="501"/>
    <cellStyle name="ÄÞ¸¶_4 " xfId="502"/>
    <cellStyle name="AÞ¸¶_4 _BL 부품개발계획서" xfId="503"/>
    <cellStyle name="ÄÞ¸¶_6-3°æÀï·Â " xfId="504"/>
    <cellStyle name="AÞ¸¶_7.MASTER SCHEDULE " xfId="505"/>
    <cellStyle name="ÄÞ¸¶_7.MASTER SCHEDULE " xfId="506"/>
    <cellStyle name="AÞ¸¶_7.MASTER SCHEDULE _BL 부품개발계획서" xfId="507"/>
    <cellStyle name="ÄÞ¸¶_Á¦Á¶1ºÎ1°ú ÇöÈ² " xfId="508"/>
    <cellStyle name="AÞ¸¶_Ac°i°u¸R " xfId="509"/>
    <cellStyle name="ÄÞ¸¶_ÀÎ¿ø°èÈ¹ " xfId="510"/>
    <cellStyle name="AÞ¸¶_AI¿ø°eE¹ _BL 부품개발계획서" xfId="511"/>
    <cellStyle name="ÄÞ¸¶_ÃÖÁ¾ÀÏÁ¤ " xfId="512"/>
    <cellStyle name="AÞ¸¶_AOA¾AIA¤ _BL 부품개발계획서" xfId="513"/>
    <cellStyle name="ÄÞ¸¶_INQUIRY ¿µ¾÷ÃßÁø " xfId="514"/>
    <cellStyle name="AÞ¸¶_INQUIRY ¿μ¾÷AßAø " xfId="515"/>
    <cellStyle name="ÄÞ¸¶_lx-taxi " xfId="516"/>
    <cellStyle name="AÞ¸¶_MKN-M1.1 " xfId="517"/>
    <cellStyle name="ÄÞ¸¶_MKN-M1.1 " xfId="518"/>
    <cellStyle name="AÞ¸¶_SAMPLE " xfId="519"/>
    <cellStyle name="ÄÞ¸¶_SAMPLE " xfId="520"/>
    <cellStyle name="AÞ¸¶_SAMPLE _BL 부품개발계획서" xfId="521"/>
    <cellStyle name="ÄÞ¸¶_Sheet1 (2)_1.SUMMARY " xfId="522"/>
    <cellStyle name="AÞ¸¶_Sheet1 (2)_1.SUMMARY _BL 부품개발계획서" xfId="523"/>
    <cellStyle name="ÄÞ¸¶_Sheet1_1.SUMMARY " xfId="524"/>
    <cellStyle name="AÞ¸¶_Sheet1_3.MSCHEDULE¿μ¹R " xfId="525"/>
    <cellStyle name="ÄÞ¸¶_Sheet1_ÃÖÁ¾ÀÏÁ¤ " xfId="526"/>
    <cellStyle name="AÞ¸¶_Sheet1_XD AOA¾AIA¤ " xfId="527"/>
    <cellStyle name="ÄÞ¸¶_Sheet1_XD ÃÖÁ¾ÀÏÁ¤ " xfId="528"/>
    <cellStyle name="AÞ¸¶_SMG-CKD-d1.1 " xfId="529"/>
    <cellStyle name="ÄÞ¸¶_SMG-CKD-d1.1 " xfId="530"/>
    <cellStyle name="AÞ¸¶_SP ¹°μ¿¹× ¿UAO " xfId="531"/>
    <cellStyle name="_x0001_b" xfId="81"/>
    <cellStyle name="C¡IA¨ª_          " xfId="532"/>
    <cellStyle name="C￥AØ_          " xfId="533"/>
    <cellStyle name="Ç¥ÁØ_¡ßFO ÅõÀÚºñºñ±³ " xfId="534"/>
    <cellStyle name="C￥AØ_¡ßFO AoAUºnºn±³ _1.사전품질확보계획.한국오므론" xfId="535"/>
    <cellStyle name="Ç¥ÁØ_¸ñÂ÷ " xfId="536"/>
    <cellStyle name="C￥AØ_¿￢±¸¼O °ø≫cCoE² " xfId="537"/>
    <cellStyle name="Ç¥ÁØ_¿¹»ê¿äÃ» " xfId="538"/>
    <cellStyle name="C￥AØ_¿¹≫e¿aA≫ " xfId="539"/>
    <cellStyle name="Ç¥ÁØ_±â¾È " xfId="540"/>
    <cellStyle name="C￥AØ_≫c¾÷ºIº° AN°e " xfId="541"/>
    <cellStyle name="Ç¥ÁØ_°¡¼Ö¸°ÀÏÁ¤_µðÁ©ÀÏÁ¤ " xfId="542"/>
    <cellStyle name="C￥AØ_°¡¼O¸°AIA¤_μðAⓒAIA¤ " xfId="543"/>
    <cellStyle name="Ç¥ÁØ_°³¹ßÀÏÁ¤ " xfId="544"/>
    <cellStyle name="C￥AØ_°³¹ßAIA¤  (2)_°³¹ßAIA¤ " xfId="545"/>
    <cellStyle name="Ç¥ÁØ_°³¹ßÀÏÁ¤  (2)_°³¹ßÀÏÁ¤ " xfId="546"/>
    <cellStyle name="C￥AØ_°u¸RBS('98) " xfId="547"/>
    <cellStyle name="Ç¥ÁØ_¼ÕÀÍÂ÷ÀÌ ¿øÀÎ " xfId="548"/>
    <cellStyle name="C￥AØ_¾÷A¾º° " xfId="549"/>
    <cellStyle name="Ç¥ÁØ_¾÷Á¾º° " xfId="550"/>
    <cellStyle name="C￥AØ_1.ÆC¸A½CAu " xfId="551"/>
    <cellStyle name="Ç¥ÁØ_1.ÆÇ¸Å½ÇÀû " xfId="552"/>
    <cellStyle name="C￥AØ_1.SUMMARY " xfId="553"/>
    <cellStyle name="Ç¥ÁØ_1.SUMMARY " xfId="554"/>
    <cellStyle name="C￥AØ_12¿u " xfId="555"/>
    <cellStyle name="Ç¥ÁØ_12¿ù " xfId="556"/>
    <cellStyle name="C￥AØ_12AO " xfId="557"/>
    <cellStyle name="Ç¥ÁØ_2.CONCEPT " xfId="558"/>
    <cellStyle name="C￥AØ_3.MSCHEDULE¿μ¹R " xfId="559"/>
    <cellStyle name="Ç¥ÁØ_3PJTR°èÈ¹ " xfId="560"/>
    <cellStyle name="C￥AØ_4 " xfId="561"/>
    <cellStyle name="Ç¥ÁØ_4 " xfId="562"/>
    <cellStyle name="C￥AØ_5-1±¤°i " xfId="563"/>
    <cellStyle name="Ç¥ÁØ_5-1±¤°í " xfId="564"/>
    <cellStyle name="C￥AØ_6-3°æAi·A " xfId="565"/>
    <cellStyle name="Ç¥ÁØ_6-3°æÀï·Â " xfId="566"/>
    <cellStyle name="C￥AØ_7.MASTER SCHEDULE " xfId="567"/>
    <cellStyle name="Ç¥ÁØ_7.MASTER SCHEDULE " xfId="568"/>
    <cellStyle name="C￥AØ_95³aAN°y¼o·R " xfId="569"/>
    <cellStyle name="Ç¥ÁØ_96ÀÎ¿ø°è2 " xfId="570"/>
    <cellStyle name="C￥AØ_96AI¿ø°O 3 " xfId="571"/>
    <cellStyle name="Ç¥ÁØ_96ÀÎ¿ø°Ô 3 " xfId="572"/>
    <cellStyle name="C￥AØ_A·ºI2 " xfId="573"/>
    <cellStyle name="Ç¥ÁØ_Ã·ºÎ2 " xfId="574"/>
    <cellStyle name="C￥AØ_Ac°i°u¸R " xfId="575"/>
    <cellStyle name="Ç¥ÁØ_ÀÏÁ¤°ËÅä¾È" xfId="576"/>
    <cellStyle name="C￥AØ_AOA¾AIA¤ " xfId="577"/>
    <cellStyle name="Ç¥ÁØ_ÃÖÁ¾ÀÏÁ¤ " xfId="578"/>
    <cellStyle name="C￥AØ_AoAUºn(ºI¼­º°,°eA¤º°) " xfId="579"/>
    <cellStyle name="Ç¥ÁØ_ÅõÀÚºñ(ºÎ¼­º°,°èÁ¤º°) " xfId="580"/>
    <cellStyle name="C￥AØ_Aß±a≫y≫e°eE¹ " xfId="581"/>
    <cellStyle name="Ç¥ÁØ_ÇùÁ¶Àü_ÅõÀÔ°èÈ¹ " xfId="582"/>
    <cellStyle name="C￥AØ_laroux_°³¹ßAIA¤ " xfId="583"/>
    <cellStyle name="Ç¥ÁØ_laroux_°³¹ßÀÏÁ¤ " xfId="584"/>
    <cellStyle name="C￥AØ_laroux_°³¹ßAIA¤  (2)_°³¹ßAIA¤ " xfId="585"/>
    <cellStyle name="Ç¥ÁØ_laroux_°³¹ßÀÏÁ¤  (2)_°³¹ßÀÏÁ¤ " xfId="586"/>
    <cellStyle name="C￥AØ_laroux_1_°³¹ßAIA¤ " xfId="587"/>
    <cellStyle name="Ç¥ÁØ_laroux_1_°³¹ßÀÏÁ¤ " xfId="588"/>
    <cellStyle name="C￥AØ_laroux_2_°³¹ßAIA¤ " xfId="589"/>
    <cellStyle name="Ç¥ÁØ_laroux_2_°³¹ßÀÏÁ¤ " xfId="590"/>
    <cellStyle name="C￥AØ_lx-taxi " xfId="591"/>
    <cellStyle name="Ç¥ÁØ_lx-taxi " xfId="592"/>
    <cellStyle name="C￥AØ_MKN-M1.1 " xfId="593"/>
    <cellStyle name="Ç¥ÁØ_MKN-M1.1 " xfId="594"/>
    <cellStyle name="C￥AØ_PERSONAL" xfId="595"/>
    <cellStyle name="Ç¥ÁØ_RDTR99ML " xfId="596"/>
    <cellStyle name="C￥AØ_RR1¾E " xfId="597"/>
    <cellStyle name="Ç¥ÁØ_Sheet1 (2)_1.SUMMARY " xfId="598"/>
    <cellStyle name="C￥AØ_Sheet1 (2)_3.MSCHEDULE¿μ¹R " xfId="599"/>
    <cellStyle name="Ç¥ÁØ_Sheet1_1.SUMMARY " xfId="600"/>
    <cellStyle name="C￥AØ_Sheet1_1_1.SUMMARY " xfId="601"/>
    <cellStyle name="Ç¥ÁØ_Sheet1_1_1.SUMMARY " xfId="602"/>
    <cellStyle name="C￥AØ_Sheet1_1_3.MSCHEDULE¿μ¹R " xfId="603"/>
    <cellStyle name="Ç¥ÁØ_Sheet1_1_XD ÃÖÁ¾ÀÏÁ¤ " xfId="604"/>
    <cellStyle name="C￥AØ_Sheet1_3.MSCHEDULE¿μ¹R " xfId="605"/>
    <cellStyle name="Ç¥ÁØ_Sheet1_XD ÃÖÁ¾ÀÏÁ¤ " xfId="606"/>
    <cellStyle name="C￥AØ_SMG-CKD-d1.1 " xfId="607"/>
    <cellStyle name="Ç¥ÁØ_SMG-CKD-d1.1 " xfId="608"/>
    <cellStyle name="C￥AØ_WIPER " xfId="609"/>
    <cellStyle name="Ç¥ÁØ_WIPER " xfId="610"/>
    <cellStyle name="C￥AØ_XD AOA¾AIA¤ " xfId="611"/>
    <cellStyle name="Ç¥ÁØ_XD ÃÖÁ¾ÀÏÁ¤ " xfId="612"/>
    <cellStyle name="C￥AØ_μðAⓒAIA¤ " xfId="613"/>
    <cellStyle name="Calc Currency (0)" xfId="614"/>
    <cellStyle name="Calc Currency (2)" xfId="615"/>
    <cellStyle name="Calc Percent (0)" xfId="616"/>
    <cellStyle name="Calc Percent (1)" xfId="617"/>
    <cellStyle name="Calc Percent (2)" xfId="618"/>
    <cellStyle name="Calc Units (0)" xfId="619"/>
    <cellStyle name="Calc Units (1)" xfId="620"/>
    <cellStyle name="Calc Units (2)" xfId="621"/>
    <cellStyle name="category" xfId="82"/>
    <cellStyle name="Comma" xfId="622"/>
    <cellStyle name="Comma [0]" xfId="623"/>
    <cellStyle name="Comma [00]" xfId="624"/>
    <cellStyle name="Comma 4" xfId="1286"/>
    <cellStyle name="comma zerodec" xfId="83"/>
    <cellStyle name="comma zerodec 10" xfId="625"/>
    <cellStyle name="comma zerodec 11" xfId="626"/>
    <cellStyle name="comma zerodec 12" xfId="627"/>
    <cellStyle name="comma zerodec 13" xfId="628"/>
    <cellStyle name="comma zerodec 14" xfId="629"/>
    <cellStyle name="comma zerodec 15" xfId="630"/>
    <cellStyle name="comma zerodec 16" xfId="631"/>
    <cellStyle name="comma zerodec 17" xfId="632"/>
    <cellStyle name="comma zerodec 2" xfId="633"/>
    <cellStyle name="comma zerodec 3" xfId="634"/>
    <cellStyle name="comma zerodec 4" xfId="635"/>
    <cellStyle name="comma zerodec 5" xfId="636"/>
    <cellStyle name="comma zerodec 6" xfId="637"/>
    <cellStyle name="comma zerodec 7" xfId="638"/>
    <cellStyle name="comma zerodec 8" xfId="639"/>
    <cellStyle name="comma zerodec 9" xfId="640"/>
    <cellStyle name="Comma[2]" xfId="641"/>
    <cellStyle name="Comma_ SG&amp;A Bridge " xfId="84"/>
    <cellStyle name="Copied" xfId="642"/>
    <cellStyle name="COST1" xfId="643"/>
    <cellStyle name="Currenc?ODCOS " xfId="644"/>
    <cellStyle name="Currency $" xfId="645"/>
    <cellStyle name="Currency [0]" xfId="646"/>
    <cellStyle name="Currency [00]" xfId="647"/>
    <cellStyle name="Currency[2]" xfId="648"/>
    <cellStyle name="Currency_ SG&amp;A Bridge " xfId="85"/>
    <cellStyle name="Currency1" xfId="86"/>
    <cellStyle name="Date" xfId="649"/>
    <cellStyle name="Date Short" xfId="650"/>
    <cellStyle name="Dollar (zero dec)" xfId="87"/>
    <cellStyle name="Dollar (zero dec) 10" xfId="651"/>
    <cellStyle name="Dollar (zero dec) 11" xfId="652"/>
    <cellStyle name="Dollar (zero dec) 12" xfId="653"/>
    <cellStyle name="Dollar (zero dec) 13" xfId="654"/>
    <cellStyle name="Dollar (zero dec) 14" xfId="655"/>
    <cellStyle name="Dollar (zero dec) 15" xfId="656"/>
    <cellStyle name="Dollar (zero dec) 16" xfId="657"/>
    <cellStyle name="Dollar (zero dec) 17" xfId="658"/>
    <cellStyle name="Dollar (zero dec) 2" xfId="659"/>
    <cellStyle name="Dollar (zero dec) 3" xfId="660"/>
    <cellStyle name="Dollar (zero dec) 4" xfId="661"/>
    <cellStyle name="Dollar (zero dec) 5" xfId="662"/>
    <cellStyle name="Dollar (zero dec) 6" xfId="663"/>
    <cellStyle name="Dollar (zero dec) 7" xfId="664"/>
    <cellStyle name="Dollar (zero dec) 8" xfId="665"/>
    <cellStyle name="Dollar (zero dec) 9" xfId="666"/>
    <cellStyle name="Enter Currency (0)" xfId="667"/>
    <cellStyle name="Enter Currency (2)" xfId="668"/>
    <cellStyle name="Enter Units (0)" xfId="669"/>
    <cellStyle name="Enter Units (1)" xfId="670"/>
    <cellStyle name="Enter Units (2)" xfId="671"/>
    <cellStyle name="Entered" xfId="672"/>
    <cellStyle name="Fixed_PJT원가정리 " xfId="673"/>
    <cellStyle name="Grey" xfId="88"/>
    <cellStyle name="HEADER" xfId="89"/>
    <cellStyle name="Header1" xfId="90"/>
    <cellStyle name="Header2" xfId="91"/>
    <cellStyle name="Heading1_PJT원가정리 " xfId="674"/>
    <cellStyle name="Heading2_PJT원가정리 " xfId="675"/>
    <cellStyle name="Hyperlink" xfId="676"/>
    <cellStyle name="iles|_x0005_h" xfId="677"/>
    <cellStyle name="Input [yellow]" xfId="92"/>
    <cellStyle name="Input Cells" xfId="678"/>
    <cellStyle name="KAGE" xfId="679"/>
    <cellStyle name="les" xfId="680"/>
    <cellStyle name="Link Currency (0)" xfId="681"/>
    <cellStyle name="Link Currency (2)" xfId="682"/>
    <cellStyle name="Link Units (0)" xfId="683"/>
    <cellStyle name="Link Units (1)" xfId="684"/>
    <cellStyle name="Link Units (2)" xfId="685"/>
    <cellStyle name="Linked Cells" xfId="686"/>
    <cellStyle name="Milliers [0]_Arabian Spec" xfId="93"/>
    <cellStyle name="Milliers_Arabian Spec" xfId="94"/>
    <cellStyle name="Model" xfId="95"/>
    <cellStyle name="Mon?aire [0]_Arabian Spec" xfId="96"/>
    <cellStyle name="Mon?aire_Arabian Spec" xfId="97"/>
    <cellStyle name="no dec" xfId="98"/>
    <cellStyle name="Norm੎੎" xfId="687"/>
    <cellStyle name="Normal" xfId="688"/>
    <cellStyle name="Normal - Style1" xfId="99"/>
    <cellStyle name="Normal 2" xfId="1282"/>
    <cellStyle name="Normal 5" xfId="1284"/>
    <cellStyle name="Normal 7" xfId="1283"/>
    <cellStyle name="Normal_ Cost Centre Code" xfId="689"/>
    <cellStyle name="per.style" xfId="690"/>
    <cellStyle name="Percent [0]" xfId="691"/>
    <cellStyle name="Percent [00]" xfId="692"/>
    <cellStyle name="Percent [2]" xfId="100"/>
    <cellStyle name="Percent[0]" xfId="693"/>
    <cellStyle name="Percent[2]" xfId="694"/>
    <cellStyle name="Percent_#6 Temps &amp; Contractors" xfId="695"/>
    <cellStyle name="PrePop Currency (0)" xfId="696"/>
    <cellStyle name="PrePop Currency (2)" xfId="697"/>
    <cellStyle name="PrePop Units (0)" xfId="698"/>
    <cellStyle name="PrePop Units (1)" xfId="699"/>
    <cellStyle name="PrePop Units (2)" xfId="700"/>
    <cellStyle name="pricing" xfId="701"/>
    <cellStyle name="PSChar" xfId="702"/>
    <cellStyle name="R?" xfId="703"/>
    <cellStyle name="RevList" xfId="704"/>
    <cellStyle name="sche|_x0005_" xfId="705"/>
    <cellStyle name="Sl_ Sl_ S퀬P Sl_ Sl_ Sl_ Sl_ Sl_ " xfId="706"/>
    <cellStyle name="Standard_Brasilien 0km_Dortmund 0km " xfId="707"/>
    <cellStyle name="subhead" xfId="101"/>
    <cellStyle name="Subtotal" xfId="708"/>
    <cellStyle name="Text Indent A" xfId="709"/>
    <cellStyle name="Text Indent B" xfId="710"/>
    <cellStyle name="Text Indent C" xfId="711"/>
    <cellStyle name="þ_x001d_ð'&amp;Oy?Hy9_x0008__x000f__x0007_æ_x0007__x0007__x0001__x0001_" xfId="712"/>
    <cellStyle name="Total_PJT원가정리 " xfId="713"/>
    <cellStyle name="XLS'|_x0005_t" xfId="714"/>
    <cellStyle name="고정소숫점" xfId="715"/>
    <cellStyle name="고정출력1" xfId="716"/>
    <cellStyle name="고정출력2" xfId="717"/>
    <cellStyle name="咬訌裝?1.2B-4000" xfId="49"/>
    <cellStyle name="咬訌裝?1_Ins_Heat" xfId="50"/>
    <cellStyle name="咬訌裝?3_ins_heat" xfId="51"/>
    <cellStyle name="咬訌裝?C800 - 4000" xfId="58"/>
    <cellStyle name="咬訌裝?C800-1200" xfId="59"/>
    <cellStyle name="咬訌裝?C800-1200 2" xfId="718"/>
    <cellStyle name="咬訌裝?DESIGN" xfId="60"/>
    <cellStyle name="咬訌裝?DESIGN 2" xfId="719"/>
    <cellStyle name="咬訌裝?INCOM1" xfId="720"/>
    <cellStyle name="咬訌裝?INCOM10" xfId="721"/>
    <cellStyle name="咬訌裝?INCOM2" xfId="722"/>
    <cellStyle name="咬訌裝?INCOM3" xfId="723"/>
    <cellStyle name="咬訌裝?INCOM4" xfId="724"/>
    <cellStyle name="咬訌裝?INCOM5" xfId="725"/>
    <cellStyle name="咬訌裝?INCOM6" xfId="726"/>
    <cellStyle name="咬訌裝?INCOM7" xfId="727"/>
    <cellStyle name="咬訌裝?INCOM8" xfId="728"/>
    <cellStyle name="咬訌裝?INCOM9" xfId="729"/>
    <cellStyle name="咬訌裝?PRIB11" xfId="730"/>
    <cellStyle name="咬訌裝?REPORT" xfId="61"/>
    <cellStyle name="咬訌裝?REPORT 2" xfId="731"/>
    <cellStyle name="咬訌裝?report-2 " xfId="62"/>
    <cellStyle name="咬訌裝?SS-41" xfId="63"/>
    <cellStyle name="咬訌裝?STEEL CT-3" xfId="64"/>
    <cellStyle name="咬訌裝?竟桎怏魏 調甑奄?菉" xfId="52"/>
    <cellStyle name="咬訌裝?竟桎怏魏 調甑奄?菉 2" xfId="732"/>
    <cellStyle name="咬訌裝?竟桎怏魏 調甑奄?禎鎭綜" xfId="53"/>
    <cellStyle name="咬訌裝?竟桎怏魏 調甑奄?禎鎭綜 2" xfId="733"/>
    <cellStyle name="咬訌裝?乖淪 " xfId="54"/>
    <cellStyle name="咬訌裝?乖淪?禎鎭鳥" xfId="55"/>
    <cellStyle name="咬訌裝?乖淪?禎鎭鳥 2" xfId="734"/>
    <cellStyle name="咬訌裝?隙懦텀痼?퓽邱驥?Busbar" xfId="56"/>
    <cellStyle name="咬訌裝?쭌鳥陝?2" xfId="57"/>
    <cellStyle name="날짜" xfId="65"/>
    <cellStyle name="달러" xfId="735"/>
    <cellStyle name="逗壯章荻渾 [0]_C800-1200" xfId="66"/>
    <cellStyle name="逗壯章荻渾_C800-1200" xfId="67"/>
    <cellStyle name="뒤에 오는 하이퍼링크" xfId="68"/>
    <cellStyle name="똿뗦먛귟 [0.00]_PRODUCT DETAIL Q1" xfId="736"/>
    <cellStyle name="똿뗦먛귟_NT Server " xfId="737"/>
    <cellStyle name="믅됞 [0.00]_NT Server " xfId="738"/>
    <cellStyle name="믅됞_NT Server " xfId="739"/>
    <cellStyle name="밍? [0]_엄넷?? " xfId="740"/>
    <cellStyle name="밍?_엄넷?? " xfId="741"/>
    <cellStyle name="백" xfId="742"/>
    <cellStyle name="百分比 2" xfId="743"/>
    <cellStyle name="百分比 2 2" xfId="744"/>
    <cellStyle name="百分比 2 3" xfId="745"/>
    <cellStyle name="百分比 2 4" xfId="746"/>
    <cellStyle name="百分比 2 5" xfId="747"/>
    <cellStyle name="百分比 3" xfId="748"/>
    <cellStyle name="백분율 10" xfId="749"/>
    <cellStyle name="백분율 11" xfId="750"/>
    <cellStyle name="백분율 2" xfId="751"/>
    <cellStyle name="백분율 2 2" xfId="107"/>
    <cellStyle name="백분율 3" xfId="752"/>
    <cellStyle name="백분율 4" xfId="753"/>
    <cellStyle name="백분율 5" xfId="754"/>
    <cellStyle name="백분율 6" xfId="755"/>
    <cellStyle name="백분율 7" xfId="756"/>
    <cellStyle name="백분율 8" xfId="757"/>
    <cellStyle name="백분율 9" xfId="758"/>
    <cellStyle name="뷭?" xfId="759"/>
    <cellStyle name="뷰A? [0]_엄넷?? " xfId="760"/>
    <cellStyle name="뷰A?_엄넷?? " xfId="761"/>
    <cellStyle name="常规 2" xfId="762"/>
    <cellStyle name="常规 2 2" xfId="763"/>
    <cellStyle name="常规 2 3" xfId="764"/>
    <cellStyle name="常规 2 4" xfId="765"/>
    <cellStyle name="常规 2 5" xfId="766"/>
    <cellStyle name="常规 2 6" xfId="767"/>
    <cellStyle name="常规 2 7" xfId="768"/>
    <cellStyle name="常规 2 8" xfId="769"/>
    <cellStyle name="常规 2 9" xfId="770"/>
    <cellStyle name="常规 3" xfId="771"/>
    <cellStyle name="常规 3 2" xfId="772"/>
    <cellStyle name="常规_06.09" xfId="773"/>
    <cellStyle name="常规_新建 Microsoft Excel 工作表" xfId="1287"/>
    <cellStyle name="셈迷?XLS!check_filesche|_x0005_" xfId="774"/>
    <cellStyle name="숫자(R)" xfId="775"/>
    <cellStyle name="쉼표 [0]" xfId="1280" builtinId="6"/>
    <cellStyle name="쉼표 [0] 10" xfId="776"/>
    <cellStyle name="쉼표 [0] 10 2" xfId="777"/>
    <cellStyle name="쉼표 [0] 10 3" xfId="778"/>
    <cellStyle name="쉼표 [0] 11" xfId="779"/>
    <cellStyle name="쉼표 [0] 12" xfId="780"/>
    <cellStyle name="쉼표 [0] 13" xfId="781"/>
    <cellStyle name="쉼표 [0] 14" xfId="782"/>
    <cellStyle name="쉼표 [0] 15" xfId="783"/>
    <cellStyle name="쉼표 [0] 16" xfId="784"/>
    <cellStyle name="쉼표 [0] 17" xfId="785"/>
    <cellStyle name="쉼표 [0] 18" xfId="786"/>
    <cellStyle name="쉼표 [0] 19" xfId="787"/>
    <cellStyle name="쉼표 [0] 2" xfId="106"/>
    <cellStyle name="쉼표 [0] 2 10" xfId="788"/>
    <cellStyle name="쉼표 [0] 2 11" xfId="789"/>
    <cellStyle name="쉼표 [0] 2 12" xfId="790"/>
    <cellStyle name="쉼표 [0] 2 13" xfId="791"/>
    <cellStyle name="쉼표 [0] 2 14" xfId="792"/>
    <cellStyle name="쉼표 [0] 2 15" xfId="793"/>
    <cellStyle name="쉼표 [0] 2 16" xfId="794"/>
    <cellStyle name="쉼표 [0] 2 17" xfId="795"/>
    <cellStyle name="쉼표 [0] 2 18" xfId="796"/>
    <cellStyle name="쉼표 [0] 2 19" xfId="797"/>
    <cellStyle name="쉼표 [0] 2 2" xfId="105"/>
    <cellStyle name="쉼표 [0] 2 2 2" xfId="798"/>
    <cellStyle name="쉼표 [0] 2 20" xfId="799"/>
    <cellStyle name="쉼표 [0] 2 21" xfId="800"/>
    <cellStyle name="쉼표 [0] 2 22" xfId="801"/>
    <cellStyle name="쉼표 [0] 2 3" xfId="802"/>
    <cellStyle name="쉼표 [0] 2 4" xfId="803"/>
    <cellStyle name="쉼표 [0] 2 4 10" xfId="804"/>
    <cellStyle name="쉼표 [0] 2 4 11" xfId="805"/>
    <cellStyle name="쉼표 [0] 2 4 2" xfId="806"/>
    <cellStyle name="쉼표 [0] 2 4 3" xfId="807"/>
    <cellStyle name="쉼표 [0] 2 4 4" xfId="808"/>
    <cellStyle name="쉼표 [0] 2 4 5" xfId="809"/>
    <cellStyle name="쉼표 [0] 2 4 6" xfId="810"/>
    <cellStyle name="쉼표 [0] 2 4 7" xfId="811"/>
    <cellStyle name="쉼표 [0] 2 4 8" xfId="812"/>
    <cellStyle name="쉼표 [0] 2 4 9" xfId="813"/>
    <cellStyle name="쉼표 [0] 2 5" xfId="108"/>
    <cellStyle name="쉼표 [0] 2 5 2" xfId="814"/>
    <cellStyle name="쉼표 [0] 2 6" xfId="815"/>
    <cellStyle name="쉼표 [0] 2 7" xfId="816"/>
    <cellStyle name="쉼표 [0] 2 8" xfId="817"/>
    <cellStyle name="쉼표 [0] 2 9" xfId="818"/>
    <cellStyle name="쉼표 [0] 20" xfId="819"/>
    <cellStyle name="쉼표 [0] 21" xfId="820"/>
    <cellStyle name="쉼표 [0] 21 2" xfId="821"/>
    <cellStyle name="쉼표 [0] 22" xfId="822"/>
    <cellStyle name="쉼표 [0] 23" xfId="823"/>
    <cellStyle name="쉼표 [0] 23 2" xfId="824"/>
    <cellStyle name="쉼표 [0] 24" xfId="825"/>
    <cellStyle name="쉼표 [0] 25" xfId="826"/>
    <cellStyle name="쉼표 [0] 26" xfId="827"/>
    <cellStyle name="쉼표 [0] 27" xfId="828"/>
    <cellStyle name="쉼표 [0] 28" xfId="829"/>
    <cellStyle name="쉼표 [0] 29" xfId="830"/>
    <cellStyle name="쉼표 [0] 3" xfId="103"/>
    <cellStyle name="쉼표 [0] 3 2" xfId="831"/>
    <cellStyle name="쉼표 [0] 3 2 2" xfId="832"/>
    <cellStyle name="쉼표 [0] 3 3" xfId="833"/>
    <cellStyle name="쉼표 [0] 3 4" xfId="834"/>
    <cellStyle name="쉼표 [0] 30" xfId="835"/>
    <cellStyle name="쉼표 [0] 31" xfId="836"/>
    <cellStyle name="쉼표 [0] 32" xfId="837"/>
    <cellStyle name="쉼표 [0] 33" xfId="838"/>
    <cellStyle name="쉼표 [0] 34" xfId="839"/>
    <cellStyle name="쉼표 [0] 35" xfId="840"/>
    <cellStyle name="쉼표 [0] 36" xfId="841"/>
    <cellStyle name="쉼표 [0] 37" xfId="842"/>
    <cellStyle name="쉼표 [0] 37 2" xfId="843"/>
    <cellStyle name="쉼표 [0] 38" xfId="844"/>
    <cellStyle name="쉼표 [0] 39" xfId="845"/>
    <cellStyle name="쉼표 [0] 4" xfId="112"/>
    <cellStyle name="쉼표 [0] 4 2" xfId="846"/>
    <cellStyle name="쉼표 [0] 4 2 2" xfId="847"/>
    <cellStyle name="쉼표 [0] 4 3" xfId="848"/>
    <cellStyle name="쉼표 [0] 40" xfId="849"/>
    <cellStyle name="쉼표 [0] 41" xfId="69"/>
    <cellStyle name="쉼표 [0] 5" xfId="850"/>
    <cellStyle name="쉼표 [0] 5 2" xfId="851"/>
    <cellStyle name="쉼표 [0] 6" xfId="852"/>
    <cellStyle name="쉼표 [0] 6 2" xfId="853"/>
    <cellStyle name="쉼표 [0] 6 3" xfId="854"/>
    <cellStyle name="쉼표 [0] 7" xfId="855"/>
    <cellStyle name="쉼표 [0] 7 2" xfId="856"/>
    <cellStyle name="쉼표 [0] 7 3" xfId="857"/>
    <cellStyle name="쉼표 [0] 7 4" xfId="858"/>
    <cellStyle name="쉼표 [0] 7_一般贸易进口合同" xfId="859"/>
    <cellStyle name="쉼표 [0] 8" xfId="860"/>
    <cellStyle name="쉼표 [0] 9" xfId="861"/>
    <cellStyle name="쉼표 10" xfId="862"/>
    <cellStyle name="쉼표 10 2" xfId="863"/>
    <cellStyle name="쉼표 11" xfId="864"/>
    <cellStyle name="쉼표 12" xfId="865"/>
    <cellStyle name="쉼표 13" xfId="866"/>
    <cellStyle name="쉼표 13 2" xfId="867"/>
    <cellStyle name="쉼표 14" xfId="868"/>
    <cellStyle name="쉼표 15" xfId="869"/>
    <cellStyle name="쉼표 15 2" xfId="870"/>
    <cellStyle name="쉼표 16" xfId="871"/>
    <cellStyle name="쉼표 16 2" xfId="872"/>
    <cellStyle name="쉼표 17" xfId="873"/>
    <cellStyle name="쉼표 17 2" xfId="874"/>
    <cellStyle name="쉼표 17 3" xfId="875"/>
    <cellStyle name="쉼표 18" xfId="876"/>
    <cellStyle name="쉼표 19" xfId="877"/>
    <cellStyle name="쉼표 2" xfId="878"/>
    <cellStyle name="쉼표 2 2" xfId="879"/>
    <cellStyle name="쉼표 2 3" xfId="880"/>
    <cellStyle name="쉼표 20" xfId="881"/>
    <cellStyle name="쉼표 3" xfId="882"/>
    <cellStyle name="쉼표 3 2" xfId="883"/>
    <cellStyle name="쉼표 3 2 2" xfId="884"/>
    <cellStyle name="쉼표 3 3" xfId="885"/>
    <cellStyle name="쉼표 4" xfId="886"/>
    <cellStyle name="쉼표 5" xfId="887"/>
    <cellStyle name="쉼표 6" xfId="888"/>
    <cellStyle name="쉼표 6 2" xfId="889"/>
    <cellStyle name="쉼표 6 2 2" xfId="890"/>
    <cellStyle name="쉼표 6 2_一般贸易进口合同" xfId="891"/>
    <cellStyle name="쉼표 6 3" xfId="892"/>
    <cellStyle name="쉼표 6 4" xfId="893"/>
    <cellStyle name="쉼표 7" xfId="894"/>
    <cellStyle name="쉼표 7 2" xfId="895"/>
    <cellStyle name="쉼표 7 2 2" xfId="896"/>
    <cellStyle name="쉼표 8" xfId="897"/>
    <cellStyle name="쉼표 8 2" xfId="898"/>
    <cellStyle name="쉼표 9" xfId="899"/>
    <cellStyle name="스타일 1" xfId="70"/>
    <cellStyle name="스타일 1 2" xfId="900"/>
    <cellStyle name="스타일 10" xfId="901"/>
    <cellStyle name="스타일 11" xfId="902"/>
    <cellStyle name="스타일 12" xfId="903"/>
    <cellStyle name="스타일 13" xfId="904"/>
    <cellStyle name="스타일 2" xfId="905"/>
    <cellStyle name="스타일 3" xfId="906"/>
    <cellStyle name="스타일 4" xfId="907"/>
    <cellStyle name="스타일 5" xfId="908"/>
    <cellStyle name="스타일 6" xfId="909"/>
    <cellStyle name="스타일 7" xfId="910"/>
    <cellStyle name="스타일 8" xfId="911"/>
    <cellStyle name="스타일 9" xfId="912"/>
    <cellStyle name="一般_5月出貨通知" xfId="71"/>
    <cellStyle name="자리수" xfId="72"/>
    <cellStyle name="자리수0" xfId="73"/>
    <cellStyle name="지정되지 않음" xfId="913"/>
    <cellStyle name="差_5월현장 자재 정산(참고)" xfId="914"/>
    <cellStyle name="千位分隔 2" xfId="915"/>
    <cellStyle name="千位分隔[0] 2" xfId="916"/>
    <cellStyle name="千位分隔[0]_4月份仓庫庫存" xfId="917"/>
    <cellStyle name="콤" xfId="918"/>
    <cellStyle name="콤마 [" xfId="919"/>
    <cellStyle name="콤마 [0]_          " xfId="920"/>
    <cellStyle name="콤마,_x0005__x0014_" xfId="921"/>
    <cellStyle name="콤마_          " xfId="922"/>
    <cellStyle name="콸張悅渾 [0]_C800-1200" xfId="74"/>
    <cellStyle name="콸張悅渾_C800-1200" xfId="75"/>
    <cellStyle name="통" xfId="923"/>
    <cellStyle name="통화 ?]_제조1부1과 현황 " xfId="924"/>
    <cellStyle name="통화 [" xfId="925"/>
    <cellStyle name="통화 [0] 2" xfId="115"/>
    <cellStyle name="통화 [0] 2 2" xfId="926"/>
    <cellStyle name="통화 [0] 3" xfId="119"/>
    <cellStyle name="통화 [0] 4" xfId="116"/>
    <cellStyle name="퍼센트" xfId="76"/>
    <cellStyle name="푎ormal_Dialog1_2_#29-FY97Requests" xfId="927"/>
    <cellStyle name="표" xfId="928"/>
    <cellStyle name="표준" xfId="0" builtinId="0"/>
    <cellStyle name="표준 10" xfId="929"/>
    <cellStyle name="표준 10 2" xfId="930"/>
    <cellStyle name="표준 10 3" xfId="931"/>
    <cellStyle name="표준 10 4" xfId="932"/>
    <cellStyle name="표준 10 4 2" xfId="933"/>
    <cellStyle name="표준 11" xfId="934"/>
    <cellStyle name="표준 11 2" xfId="935"/>
    <cellStyle name="표준 11 2 2" xfId="936"/>
    <cellStyle name="표준 11 3" xfId="937"/>
    <cellStyle name="표준 11 4" xfId="938"/>
    <cellStyle name="표준 11 5" xfId="939"/>
    <cellStyle name="표준 11 6" xfId="940"/>
    <cellStyle name="표준 12" xfId="941"/>
    <cellStyle name="표준 12 2" xfId="942"/>
    <cellStyle name="표준 12 3" xfId="943"/>
    <cellStyle name="표준 13" xfId="944"/>
    <cellStyle name="표준 13 2" xfId="945"/>
    <cellStyle name="표준 13 3" xfId="946"/>
    <cellStyle name="표준 14" xfId="947"/>
    <cellStyle name="표준 14 2" xfId="948"/>
    <cellStyle name="표준 14 3" xfId="949"/>
    <cellStyle name="표준 15" xfId="950"/>
    <cellStyle name="표준 15 2" xfId="951"/>
    <cellStyle name="표준 16" xfId="952"/>
    <cellStyle name="표준 16 2" xfId="953"/>
    <cellStyle name="표준 17" xfId="954"/>
    <cellStyle name="표준 18" xfId="955"/>
    <cellStyle name="표준 18 2" xfId="956"/>
    <cellStyle name="표준 18 3" xfId="957"/>
    <cellStyle name="표준 18 4" xfId="958"/>
    <cellStyle name="표준 18 4 2" xfId="959"/>
    <cellStyle name="표준 18 5" xfId="960"/>
    <cellStyle name="표준 19" xfId="961"/>
    <cellStyle name="표준 19 2" xfId="962"/>
    <cellStyle name="표준 2" xfId="104"/>
    <cellStyle name="표준 2 10" xfId="963"/>
    <cellStyle name="표준 2 11" xfId="964"/>
    <cellStyle name="표준 2 12" xfId="965"/>
    <cellStyle name="표준 2 13" xfId="966"/>
    <cellStyle name="표준 2 14" xfId="967"/>
    <cellStyle name="표준 2 15" xfId="968"/>
    <cellStyle name="표준 2 16" xfId="969"/>
    <cellStyle name="표준 2 17" xfId="970"/>
    <cellStyle name="표준 2 18" xfId="971"/>
    <cellStyle name="표준 2 19" xfId="972"/>
    <cellStyle name="표준 2 2" xfId="111"/>
    <cellStyle name="표준 2 2 15" xfId="973"/>
    <cellStyle name="표준 2 2 17" xfId="974"/>
    <cellStyle name="표준 2 2 2" xfId="975"/>
    <cellStyle name="표준 2 2 2 2" xfId="976"/>
    <cellStyle name="표준 2 2 2 2 2" xfId="977"/>
    <cellStyle name="표준 2 2 2 3" xfId="978"/>
    <cellStyle name="표준 2 2 3" xfId="979"/>
    <cellStyle name="표준 2 2 4" xfId="980"/>
    <cellStyle name="표준 2 2 7 2" xfId="981"/>
    <cellStyle name="표준 2 20" xfId="982"/>
    <cellStyle name="표준 2 21" xfId="983"/>
    <cellStyle name="표준 2 22" xfId="984"/>
    <cellStyle name="표준 2 23" xfId="985"/>
    <cellStyle name="표준 2 24" xfId="986"/>
    <cellStyle name="표준 2 3" xfId="109"/>
    <cellStyle name="표준 2 3 2" xfId="987"/>
    <cellStyle name="표준 2 3 2 2" xfId="988"/>
    <cellStyle name="표준 2 4" xfId="118"/>
    <cellStyle name="표준 2 5" xfId="989"/>
    <cellStyle name="표준 2 6" xfId="990"/>
    <cellStyle name="표준 2 6 2" xfId="991"/>
    <cellStyle name="표준 2 7" xfId="992"/>
    <cellStyle name="표준 2 8" xfId="993"/>
    <cellStyle name="표준 2 9" xfId="994"/>
    <cellStyle name="표준 2_CENTURION산동출하계획" xfId="995"/>
    <cellStyle name="표준 20" xfId="996"/>
    <cellStyle name="표준 21" xfId="997"/>
    <cellStyle name="표준 21 2" xfId="998"/>
    <cellStyle name="표준 22" xfId="999"/>
    <cellStyle name="표준 22 2" xfId="1000"/>
    <cellStyle name="표준 23" xfId="1001"/>
    <cellStyle name="표준 23 2" xfId="1002"/>
    <cellStyle name="표준 23 2 2" xfId="1003"/>
    <cellStyle name="표준 23 2 3" xfId="1004"/>
    <cellStyle name="표준 23 2 4" xfId="1005"/>
    <cellStyle name="표준 23 3" xfId="1006"/>
    <cellStyle name="표준 23 4" xfId="1007"/>
    <cellStyle name="표준 23 5" xfId="1008"/>
    <cellStyle name="표준 23 6" xfId="1009"/>
    <cellStyle name="표준 24" xfId="1010"/>
    <cellStyle name="표준 24 10" xfId="1011"/>
    <cellStyle name="표준 24 11" xfId="1012"/>
    <cellStyle name="표준 24 12" xfId="1013"/>
    <cellStyle name="표준 24 12 2" xfId="1014"/>
    <cellStyle name="표준 24 12 2 2" xfId="1015"/>
    <cellStyle name="표준 24 12 2 3" xfId="1016"/>
    <cellStyle name="표준 24 13" xfId="1017"/>
    <cellStyle name="표준 24 14" xfId="1018"/>
    <cellStyle name="표준 24 2" xfId="1019"/>
    <cellStyle name="표준 24 3" xfId="1020"/>
    <cellStyle name="표준 24 4" xfId="1021"/>
    <cellStyle name="표준 24 5" xfId="1022"/>
    <cellStyle name="표준 24 6" xfId="1023"/>
    <cellStyle name="표준 24 7" xfId="1024"/>
    <cellStyle name="표준 24 8" xfId="1025"/>
    <cellStyle name="표준 24 9" xfId="1026"/>
    <cellStyle name="표준 25" xfId="1027"/>
    <cellStyle name="표준 25 2" xfId="1028"/>
    <cellStyle name="표준 26" xfId="1029"/>
    <cellStyle name="표준 26 2" xfId="1030"/>
    <cellStyle name="표준 27" xfId="1031"/>
    <cellStyle name="표준 28" xfId="1032"/>
    <cellStyle name="표준 29" xfId="1033"/>
    <cellStyle name="표준 29 2" xfId="1034"/>
    <cellStyle name="표준 3" xfId="113"/>
    <cellStyle name="표준 3 10" xfId="1035"/>
    <cellStyle name="표준 3 2" xfId="1036"/>
    <cellStyle name="표준 3 2 2" xfId="1037"/>
    <cellStyle name="표준 3 2 2 2" xfId="1038"/>
    <cellStyle name="표준 3 2 2 4" xfId="1039"/>
    <cellStyle name="표준 3 2 3" xfId="1040"/>
    <cellStyle name="표준 3 2 4" xfId="1041"/>
    <cellStyle name="표준 3 2 5" xfId="1042"/>
    <cellStyle name="표준 3 3" xfId="1043"/>
    <cellStyle name="표준 3 3 2" xfId="1044"/>
    <cellStyle name="표준 3 3 3" xfId="1045"/>
    <cellStyle name="표준 3 4" xfId="1046"/>
    <cellStyle name="표준 3 5" xfId="1047"/>
    <cellStyle name="표준 3 6" xfId="1048"/>
    <cellStyle name="표준 3 7" xfId="1049"/>
    <cellStyle name="표준 3_수불정산 SHEET 공정_IR" xfId="1050"/>
    <cellStyle name="표준 30" xfId="1051"/>
    <cellStyle name="표준 30 2" xfId="1052"/>
    <cellStyle name="표준 31" xfId="1053"/>
    <cellStyle name="표준 31 2" xfId="1054"/>
    <cellStyle name="표준 32" xfId="1055"/>
    <cellStyle name="표준 33" xfId="1056"/>
    <cellStyle name="표준 34" xfId="1057"/>
    <cellStyle name="표준 35" xfId="1058"/>
    <cellStyle name="표준 36" xfId="1059"/>
    <cellStyle name="표준 37" xfId="1060"/>
    <cellStyle name="표준 37 2" xfId="1061"/>
    <cellStyle name="표준 38" xfId="1062"/>
    <cellStyle name="표준 39" xfId="1063"/>
    <cellStyle name="표준 39 2" xfId="1064"/>
    <cellStyle name="표준 4" xfId="102"/>
    <cellStyle name="표준 4 2" xfId="1065"/>
    <cellStyle name="표준 4 2 2" xfId="1066"/>
    <cellStyle name="표준 4 3" xfId="1067"/>
    <cellStyle name="표준 4 3 2" xfId="1285"/>
    <cellStyle name="표준 4 4" xfId="1068"/>
    <cellStyle name="표준 4 5" xfId="1069"/>
    <cellStyle name="표준 4_一般贸易进口合同" xfId="1070"/>
    <cellStyle name="표준 40" xfId="1071"/>
    <cellStyle name="표준 41" xfId="1072"/>
    <cellStyle name="표준 42" xfId="1"/>
    <cellStyle name="표준 5" xfId="117"/>
    <cellStyle name="표준 5 2" xfId="1073"/>
    <cellStyle name="표준 5 2 10" xfId="1074"/>
    <cellStyle name="표준 5 2 10 2" xfId="1075"/>
    <cellStyle name="표준 5 2 11" xfId="1076"/>
    <cellStyle name="표준 5 2 11 2" xfId="1077"/>
    <cellStyle name="표준 5 2 12" xfId="1078"/>
    <cellStyle name="표준 5 2 12 2" xfId="1079"/>
    <cellStyle name="표준 5 2 13" xfId="1080"/>
    <cellStyle name="표준 5 2 13 2" xfId="1081"/>
    <cellStyle name="표준 5 2 14" xfId="1082"/>
    <cellStyle name="표준 5 2 14 2" xfId="1083"/>
    <cellStyle name="표준 5 2 15" xfId="1084"/>
    <cellStyle name="표준 5 2 15 2" xfId="1085"/>
    <cellStyle name="표준 5 2 16" xfId="1086"/>
    <cellStyle name="표준 5 2 16 2" xfId="1087"/>
    <cellStyle name="표준 5 2 17" xfId="1088"/>
    <cellStyle name="표준 5 2 18" xfId="1281"/>
    <cellStyle name="표준 5 2 2" xfId="1089"/>
    <cellStyle name="표준 5 2 2 2" xfId="1090"/>
    <cellStyle name="표준 5 2 3" xfId="1091"/>
    <cellStyle name="표준 5 2 3 2" xfId="1092"/>
    <cellStyle name="표준 5 2 4" xfId="1093"/>
    <cellStyle name="표준 5 2 4 2" xfId="1094"/>
    <cellStyle name="표준 5 2 5" xfId="1095"/>
    <cellStyle name="표준 5 2 5 2" xfId="1096"/>
    <cellStyle name="표준 5 2 6" xfId="1097"/>
    <cellStyle name="표준 5 2 6 2" xfId="1098"/>
    <cellStyle name="표준 5 2 7" xfId="1099"/>
    <cellStyle name="표준 5 2 7 2" xfId="1100"/>
    <cellStyle name="표준 5 2 8" xfId="1101"/>
    <cellStyle name="표준 5 2 8 2" xfId="1102"/>
    <cellStyle name="표준 5 2 9" xfId="1103"/>
    <cellStyle name="표준 5 2 9 2" xfId="1104"/>
    <cellStyle name="표준 5 3" xfId="1105"/>
    <cellStyle name="표준 5 4" xfId="1106"/>
    <cellStyle name="표준 5 5" xfId="1107"/>
    <cellStyle name="표준 5_一般贸易进口合同" xfId="1108"/>
    <cellStyle name="표준 6" xfId="1109"/>
    <cellStyle name="표준 6 10" xfId="1110"/>
    <cellStyle name="표준 6 10 2" xfId="1111"/>
    <cellStyle name="표준 6 11" xfId="1112"/>
    <cellStyle name="표준 6 11 2" xfId="1113"/>
    <cellStyle name="표준 6 12" xfId="1114"/>
    <cellStyle name="표준 6 12 2" xfId="1115"/>
    <cellStyle name="표준 6 13" xfId="1116"/>
    <cellStyle name="표준 6 13 2" xfId="1117"/>
    <cellStyle name="표준 6 14" xfId="1118"/>
    <cellStyle name="표준 6 14 2" xfId="1119"/>
    <cellStyle name="표준 6 15" xfId="1120"/>
    <cellStyle name="표준 6 15 2" xfId="1121"/>
    <cellStyle name="표준 6 16" xfId="1122"/>
    <cellStyle name="표준 6 16 2" xfId="1123"/>
    <cellStyle name="표준 6 17" xfId="1124"/>
    <cellStyle name="표준 6 2" xfId="110"/>
    <cellStyle name="표준 6 2 2" xfId="1125"/>
    <cellStyle name="표준 6 2 2 2" xfId="1126"/>
    <cellStyle name="표준 6 2 2 3" xfId="1127"/>
    <cellStyle name="표준 6 2 2 4" xfId="1128"/>
    <cellStyle name="표준 6 2 2 5" xfId="1129"/>
    <cellStyle name="표준 6 2 3" xfId="1130"/>
    <cellStyle name="표준 6 2 4" xfId="1131"/>
    <cellStyle name="표준 6 3" xfId="1132"/>
    <cellStyle name="표준 6 3 2" xfId="1133"/>
    <cellStyle name="표준 6 4" xfId="1134"/>
    <cellStyle name="표준 6 4 2" xfId="1135"/>
    <cellStyle name="표준 6 5" xfId="1136"/>
    <cellStyle name="표준 6 5 2" xfId="1137"/>
    <cellStyle name="표준 6 6" xfId="1138"/>
    <cellStyle name="표준 6 6 2" xfId="1139"/>
    <cellStyle name="표준 6 7" xfId="1140"/>
    <cellStyle name="표준 6 7 2" xfId="1141"/>
    <cellStyle name="표준 6 8" xfId="1142"/>
    <cellStyle name="표준 6 8 2" xfId="1143"/>
    <cellStyle name="표준 6 9" xfId="1144"/>
    <cellStyle name="표준 6 9 2" xfId="1145"/>
    <cellStyle name="표준 7" xfId="1146"/>
    <cellStyle name="표준 7 10" xfId="1147"/>
    <cellStyle name="표준 7 11" xfId="1148"/>
    <cellStyle name="표준 7 11 2" xfId="1149"/>
    <cellStyle name="표준 7 11 2 2" xfId="1150"/>
    <cellStyle name="표준 7 11 3" xfId="1151"/>
    <cellStyle name="표준 7 11 3 2" xfId="1152"/>
    <cellStyle name="표준 7 12" xfId="1153"/>
    <cellStyle name="표준 7 12 2" xfId="1154"/>
    <cellStyle name="표준 7 13" xfId="1155"/>
    <cellStyle name="표준 7 13 2" xfId="1156"/>
    <cellStyle name="표준 7 14" xfId="1157"/>
    <cellStyle name="표준 7 14 2" xfId="1158"/>
    <cellStyle name="표준 7 15" xfId="1159"/>
    <cellStyle name="표준 7 15 2" xfId="1160"/>
    <cellStyle name="표준 7 16" xfId="1161"/>
    <cellStyle name="표준 7 16 2" xfId="1162"/>
    <cellStyle name="표준 7 17" xfId="1163"/>
    <cellStyle name="표준 7 17 2" xfId="1164"/>
    <cellStyle name="표준 7 18" xfId="1165"/>
    <cellStyle name="표준 7 18 2" xfId="1166"/>
    <cellStyle name="표준 7 19" xfId="1167"/>
    <cellStyle name="표준 7 19 2" xfId="1168"/>
    <cellStyle name="표준 7 19 2 2" xfId="1169"/>
    <cellStyle name="표준 7 2" xfId="1170"/>
    <cellStyle name="표준 7 2 10" xfId="1171"/>
    <cellStyle name="표준 7 2 10 2" xfId="1172"/>
    <cellStyle name="표준 7 2 2" xfId="1173"/>
    <cellStyle name="표준 7 2 2 2" xfId="1174"/>
    <cellStyle name="표준 7 2 3" xfId="1175"/>
    <cellStyle name="표준 7 2 3 2" xfId="1176"/>
    <cellStyle name="표준 7 2 4" xfId="1177"/>
    <cellStyle name="표준 7 2 4 2" xfId="1178"/>
    <cellStyle name="표준 7 2 5" xfId="1179"/>
    <cellStyle name="표준 7 2 5 2" xfId="1180"/>
    <cellStyle name="표준 7 2 6" xfId="1181"/>
    <cellStyle name="표준 7 2 6 2" xfId="1182"/>
    <cellStyle name="표준 7 2 7" xfId="1183"/>
    <cellStyle name="표준 7 2 7 2" xfId="1184"/>
    <cellStyle name="표준 7 2 8" xfId="1185"/>
    <cellStyle name="표준 7 2 8 2" xfId="1186"/>
    <cellStyle name="표준 7 2 9" xfId="1187"/>
    <cellStyle name="표준 7 2 9 2" xfId="1188"/>
    <cellStyle name="표준 7 20" xfId="1189"/>
    <cellStyle name="표준 7 20 2" xfId="1190"/>
    <cellStyle name="표준 7 21" xfId="1191"/>
    <cellStyle name="표준 7 21 2" xfId="1192"/>
    <cellStyle name="표준 7 22" xfId="1193"/>
    <cellStyle name="표준 7 22 2" xfId="1194"/>
    <cellStyle name="표준 7 23" xfId="1195"/>
    <cellStyle name="표준 7 23 2" xfId="1196"/>
    <cellStyle name="표준 7 24" xfId="1197"/>
    <cellStyle name="표준 7 24 2" xfId="1198"/>
    <cellStyle name="표준 7 25" xfId="1199"/>
    <cellStyle name="표준 7 3" xfId="1200"/>
    <cellStyle name="표준 7 4" xfId="1201"/>
    <cellStyle name="표준 7 5" xfId="1202"/>
    <cellStyle name="표준 7 6" xfId="1203"/>
    <cellStyle name="표준 7 7" xfId="1204"/>
    <cellStyle name="표준 7 8" xfId="1205"/>
    <cellStyle name="표준 7 9" xfId="1206"/>
    <cellStyle name="표준 8" xfId="1207"/>
    <cellStyle name="표준 8 2" xfId="1208"/>
    <cellStyle name="표준 8 3" xfId="1209"/>
    <cellStyle name="표준 8 4" xfId="1210"/>
    <cellStyle name="표준 8 5" xfId="1211"/>
    <cellStyle name="표준 8 6" xfId="1212"/>
    <cellStyle name="표준 9" xfId="114"/>
    <cellStyle name="표준 9 10" xfId="1213"/>
    <cellStyle name="표준 9 11" xfId="1214"/>
    <cellStyle name="표준 9 12" xfId="1215"/>
    <cellStyle name="표준 9 13" xfId="1216"/>
    <cellStyle name="표준 9 14" xfId="1217"/>
    <cellStyle name="표준 9 15" xfId="1218"/>
    <cellStyle name="표준 9 16" xfId="1219"/>
    <cellStyle name="표준 9 17" xfId="1220"/>
    <cellStyle name="표준 9 18" xfId="1221"/>
    <cellStyle name="표준 9 19" xfId="1222"/>
    <cellStyle name="표준 9 2" xfId="1223"/>
    <cellStyle name="표준 9 20" xfId="1224"/>
    <cellStyle name="표준 9 21" xfId="1225"/>
    <cellStyle name="표준 9 22" xfId="1226"/>
    <cellStyle name="표준 9 23" xfId="1227"/>
    <cellStyle name="표준 9 24" xfId="1228"/>
    <cellStyle name="표준 9 25" xfId="1229"/>
    <cellStyle name="표준 9 26" xfId="1230"/>
    <cellStyle name="표준 9 27" xfId="1231"/>
    <cellStyle name="표준 9 28" xfId="1232"/>
    <cellStyle name="표준 9 29" xfId="1233"/>
    <cellStyle name="표준 9 3" xfId="1234"/>
    <cellStyle name="표준 9 30" xfId="1235"/>
    <cellStyle name="표준 9 31" xfId="1236"/>
    <cellStyle name="표준 9 32" xfId="1237"/>
    <cellStyle name="표준 9 33" xfId="1238"/>
    <cellStyle name="표준 9 34" xfId="1239"/>
    <cellStyle name="표준 9 35" xfId="1240"/>
    <cellStyle name="표준 9 36" xfId="1241"/>
    <cellStyle name="표준 9 37" xfId="1242"/>
    <cellStyle name="표준 9 38" xfId="1243"/>
    <cellStyle name="표준 9 39" xfId="1244"/>
    <cellStyle name="표준 9 4" xfId="1245"/>
    <cellStyle name="표준 9 40" xfId="1246"/>
    <cellStyle name="표준 9 41" xfId="1247"/>
    <cellStyle name="표준 9 42" xfId="1248"/>
    <cellStyle name="표준 9 43" xfId="1249"/>
    <cellStyle name="표준 9 44" xfId="1250"/>
    <cellStyle name="표준 9 45" xfId="1251"/>
    <cellStyle name="표준 9 46" xfId="1252"/>
    <cellStyle name="표준 9 47" xfId="1253"/>
    <cellStyle name="표준 9 48" xfId="1254"/>
    <cellStyle name="표준 9 49" xfId="1255"/>
    <cellStyle name="표준 9 5" xfId="1256"/>
    <cellStyle name="표준 9 50" xfId="1257"/>
    <cellStyle name="표준 9 6" xfId="1258"/>
    <cellStyle name="표준 9 7" xfId="1259"/>
    <cellStyle name="표준 9 8" xfId="1260"/>
    <cellStyle name="표준 9 9" xfId="1261"/>
    <cellStyle name="標準_Akia(F）-8" xfId="77"/>
    <cellStyle name="퓭닉_ㅶA??絡 " xfId="1262"/>
    <cellStyle name="합산" xfId="1263"/>
    <cellStyle name="현대" xfId="1264"/>
    <cellStyle name="화폐기호" xfId="78"/>
    <cellStyle name="화폐기호0" xfId="79"/>
    <cellStyle name="훐r?손익1" xfId="80"/>
    <cellStyle name="훐r?손익1 10" xfId="1265"/>
    <cellStyle name="훐r?손익1 11" xfId="1266"/>
    <cellStyle name="훐r?손익1 12" xfId="1267"/>
    <cellStyle name="훐r?손익1 13" xfId="1268"/>
    <cellStyle name="훐r?손익1 14" xfId="1269"/>
    <cellStyle name="훐r?손익1 15" xfId="1270"/>
    <cellStyle name="훐r?손익1 16" xfId="1271"/>
    <cellStyle name="훐r?손익1 2" xfId="1272"/>
    <cellStyle name="훐r?손익1 3" xfId="1273"/>
    <cellStyle name="훐r?손익1 4" xfId="1274"/>
    <cellStyle name="훐r?손익1 5" xfId="1275"/>
    <cellStyle name="훐r?손익1 6" xfId="1276"/>
    <cellStyle name="훐r?손익1 7" xfId="1277"/>
    <cellStyle name="훐r?손익1 8" xfId="1278"/>
    <cellStyle name="훐r?손익1 9" xfId="12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409575</xdr:colOff>
      <xdr:row>45</xdr:row>
      <xdr:rowOff>28575</xdr:rowOff>
    </xdr:from>
    <xdr:ext cx="2619375" cy="1114425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625" y="11677650"/>
          <a:ext cx="2619375" cy="11144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3097530</xdr:colOff>
      <xdr:row>4</xdr:row>
      <xdr:rowOff>85725</xdr:rowOff>
    </xdr:from>
    <xdr:to>
      <xdr:col>9</xdr:col>
      <xdr:colOff>6155627</xdr:colOff>
      <xdr:row>13</xdr:row>
      <xdr:rowOff>67483</xdr:rowOff>
    </xdr:to>
    <xdr:pic>
      <xdr:nvPicPr>
        <xdr:cNvPr id="2" name="그림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1005" y="1495425"/>
          <a:ext cx="3058097" cy="367745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53339</xdr:rowOff>
    </xdr:from>
    <xdr:to>
      <xdr:col>9</xdr:col>
      <xdr:colOff>2991234</xdr:colOff>
      <xdr:row>12</xdr:row>
      <xdr:rowOff>177784</xdr:rowOff>
    </xdr:to>
    <xdr:pic>
      <xdr:nvPicPr>
        <xdr:cNvPr id="3" name="그림 2" descr="d:\Users\A1207019\Desktop\Resized_20190814_111147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463039"/>
          <a:ext cx="2991234" cy="36105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6227445</xdr:colOff>
      <xdr:row>4</xdr:row>
      <xdr:rowOff>53340</xdr:rowOff>
    </xdr:from>
    <xdr:to>
      <xdr:col>13</xdr:col>
      <xdr:colOff>595272</xdr:colOff>
      <xdr:row>11</xdr:row>
      <xdr:rowOff>95250</xdr:rowOff>
    </xdr:to>
    <xdr:pic>
      <xdr:nvPicPr>
        <xdr:cNvPr id="4" name="그림 3" descr="d:\Users\A1207019\Desktop\Resized_20190816_175747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80920" y="1463040"/>
          <a:ext cx="4083327" cy="3318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24246</xdr:colOff>
      <xdr:row>6</xdr:row>
      <xdr:rowOff>23380</xdr:rowOff>
    </xdr:from>
    <xdr:to>
      <xdr:col>2</xdr:col>
      <xdr:colOff>2512482</xdr:colOff>
      <xdr:row>7</xdr:row>
      <xdr:rowOff>86591</xdr:rowOff>
    </xdr:to>
    <xdr:pic>
      <xdr:nvPicPr>
        <xdr:cNvPr id="3" name="그림 2" descr="d:\Users\A1207019\Desktop\Resized_20190814_111147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04405" y="1815812"/>
          <a:ext cx="2488236" cy="29986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17319</xdr:colOff>
      <xdr:row>6</xdr:row>
      <xdr:rowOff>34636</xdr:rowOff>
    </xdr:from>
    <xdr:to>
      <xdr:col>4</xdr:col>
      <xdr:colOff>69272</xdr:colOff>
      <xdr:row>6</xdr:row>
      <xdr:rowOff>2130135</xdr:rowOff>
    </xdr:to>
    <xdr:pic>
      <xdr:nvPicPr>
        <xdr:cNvPr id="4" name="그림 3" descr="d:\Users\A1207019\Desktop\20190814_174715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3" t="16057" r="9805" b="17076"/>
        <a:stretch/>
      </xdr:blipFill>
      <xdr:spPr bwMode="auto">
        <a:xfrm>
          <a:off x="2286001" y="1827068"/>
          <a:ext cx="3264476" cy="2095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PROJECT/&#54016;Project&#48372;&#44256;/DOS/ENG&#44277;&#4455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\erp\TAEYOUNG\AUDIT\SAMWONFA\ANALYTIC.W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JWJ\NEW02\m100\&#48372;&#44256;\&#48372;&#44256;\&#49324;&#50629;&#44228;&#54925;\&#51228;&#52636;\CAR\PRO-SU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-jeon\2010%20&#45380;\&#9733;&#51648;&#51221;&#49345;\&#9670;project%20&#44288;&#47532;\012%20&#51064;&#46020;&#44277;&#51109;\&#9632;&#51064;&#46020;&#44277;&#51109;%20N-MXI\&#49440;&#51201;&#49436;&#47448;&#52384;\ABJL\EICHER\&#9313;&#44277;&#53685;\&#45824;&#50808;&#4815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S_NT\tech\&#44592;&#49696;&#44060;&#48156;&#51333;&#54633;&#54788;&#54889;\&#45572;&#44396;&#46972;&#46020;&#48372;&#49464;&#50836;\&#51088;&#51116;&#54016;%20&#50629;&#47924;%20&#45236;&#50669;\&#50900;&#44036;&#44288;&#47532;&#54637;&#47785;&#51068;&#46988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50689;&#50629;&#44288;&#47532;_&#47924;&#50669;&#44288;&#47532;&#54016;\Users\shin\Desktop\2012&#44204;&#51201;&#49436;\fms\file_pbm\pbm_b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KCH\LC\&#44592;&#54925;&#50696;&#49328;\AHM\&#54408;&#51032;&#50577;&#4988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DMINI~1\LOCALS~1\Temp\&#50900;&#48324;&#47560;&#44048;&#51088;&#47308;\&#51333;&#54633;&#51665;&#44228;\&#51088;&#47308;\&#52280;&#51312;&#50857;&#51088;&#47308;\A%20-%2007,11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3804;&#51088;&#44288;&#47144;\&#51665;&#54665;&#50696;&#49328;\&#51204;&#51228;\&#54924;&#51032;&#51088;&#4730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53237\L-drive\kang\calculation\&#44228;&#49328;&#51088;&#47308;\Aux_Equip_capa\Auxequip_c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3804;&#51088;&#44288;&#47144;\&#51665;&#54665;&#50696;&#49328;\&#51204;&#51228;\&#50980;&#51060;&#44732;\94&#45380;&#44048;\&#49328;&#54801;&#52392;&#4851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i.lg.co.kr/Hkj/&#49328;&#50629;&#44592;&#44228;/2001/BANGLADESH/17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50689;&#50629;&#44288;&#47532;_&#47924;&#50669;&#44288;&#47532;&#54016;\&#49548;&#52404;&#49892;&#54744;\&#51221;&#48169;&#54693;%20&#51221;&#47148;&#44284;%20&#47924;&#48169;&#48225;&#51221;&#47148;%20&#53945;&#49457;&#48708;&#443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329558\c\AKKK\CHK-SHT\CAMBA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4540;\D\WORK\&#51060;&#49324;&#49549;&#48372;\&#54616;&#48152;&#45824;&#52293;\&#54616;&#48152;&#45824;&#52293;\&#49324;&#51109;96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ttoware.co.kr/Documents%20and%20Settings/user1/Local%20Settings/Temporary%20Internet%20Files/Content.IE5/N7GBB2RB/&#9733;Fab34%20&#51088;&#49328;%20&#54869;&#51064;rev3_TF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US\2004&#21697;&#36074;&#21608;&#26371;\DOCUME~1\GM03SA~1.001\LOCALS~1\Temp\F706-01-02-A1%20&#22996;&#22806;&#21152;&#24037;&#27969;&#31243;&#2193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49688;\C\&#50980;&#53468;&#50857;\RD.CPE\&#51312;&#52636;&#48372;&#44256;\&#51312;&#52636;&#48372;&#44256;\RV\ILY\PM&#54924;&#51032;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437;&#55148;\&#54620;&#49437;&#55148;%20&#50629;&#47924;&#47928;&#49436;\6.&#49340;&#45909;%20&#54000;&#50648;&#50640;&#49828;%20&#52636;&#51077;&#46321;&#47197;\===&#49340;&#45909;%20&#54000;&#50648;&#50640;&#49828;%20&#52636;&#51077;&#46321;&#4719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KCH\LC\&#44592;&#54925;&#50696;&#49328;\AHM\&#47784;&#45944;&#49849;&#51064;\LC&#54200;&#49457;&#54364;\AHM\&#54408;&#51032;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표지★"/>
      <sheetName val="Sheet1"/>
      <sheetName val="Sheet2"/>
      <sheetName val="Sheet3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_REF"/>
      <sheetName val="신차종"/>
      <sheetName val="개조차_파생차"/>
      <sheetName val="MY"/>
      <sheetName val="해외"/>
      <sheetName val="종합일정표 (1장)"/>
      <sheetName val="INPUT"/>
      <sheetName val="Sheet2_x0000__x0000__x0000__x0000__x0000__x0000__x0000__x0000__x0000__x0000_ _x0000_ꈼύ_x0000__x0004__x0000__x0000__x0000__x0000__x0000__x0000_黠ύ_x0000_"/>
      <sheetName val="TRW원가"/>
      <sheetName val="RD제품개발투자비(매가)"/>
      <sheetName val="ENG공급"/>
      <sheetName val="기안"/>
      <sheetName val="표지"/>
      <sheetName val="A"/>
      <sheetName val="Sheet2_x0000_ ꈼύ_x0004__x0000_黠ύꋨύ_x0004__x0000_朑楃PNG공"/>
      <sheetName val="주행"/>
      <sheetName val="Sheet2?????????? ?ꈼύ?_x0004_??????黠ύ?"/>
      <sheetName val="CFLOW"/>
      <sheetName val="항목(1)"/>
      <sheetName val="종합일정표_(1장)"/>
      <sheetName val="Sheet2 ꈼύ黠ύꋨύ朑楃PNG공"/>
      <sheetName val="DATA"/>
      <sheetName val="종합일정표_(1장)1"/>
      <sheetName val="Sheet2_ꈼύ黠ύꋨύ朑楃PNG공"/>
      <sheetName val="Sheet2__________ _ꈼύ__x0004_______黠ύ_"/>
      <sheetName val="품의서"/>
      <sheetName val="Sheet2? ꈼύ_x0004_?黠ύꋨύ_x0004_?朑楃PNG공"/>
      <sheetName val=""/>
      <sheetName val="협조전"/>
      <sheetName val="SOURCE"/>
      <sheetName val="Sheet2_x0000__x0000__x0000__x0000__x0000__x0000__x0000__x0000__x0000__x0000__x0009__x0000_ꈼύ_x0000__x0004__x0000__x0000__x0000__x0000__x0000__x0000_黠ύ_x0000_"/>
      <sheetName val="Sheet2??????????_x0009_?ꈼύ?_x0004_??????黠ύ?"/>
      <sheetName val="Sheet2___________x0009__ꈼύ__x0004_______黠ύ_"/>
      <sheetName val="Sheet2 ꈼύ黠ύ"/>
      <sheetName val="신차袅"/>
      <sheetName val="불량현상별END"/>
      <sheetName val="현금경비중역"/>
      <sheetName val="재료율"/>
      <sheetName val="Netsgo-1"/>
      <sheetName val="종합일정표_(1장)2"/>
      <sheetName val="Sheet2_ꈼύ黠ύꋨύ朑楃PNG공1"/>
      <sheetName val="Sheet2?_ꈼύ?黠ύꋨύ?朑楃PNG공"/>
      <sheetName val="Sheet2?????????? ?ꈼύ???????黠ύ?"/>
      <sheetName val="Sheet2__________ _ꈼύ_______黠ύ_"/>
      <sheetName val="712"/>
      <sheetName val="계산DATA입력"/>
      <sheetName val="계산정보"/>
      <sheetName val="계산_DATA_입력"/>
      <sheetName val="최신"/>
      <sheetName val="ﾕｰｻﾞｰ設定"/>
      <sheetName val="full_(2)"/>
      <sheetName val="Total"/>
      <sheetName val="58731-M2001(2)"/>
      <sheetName val="계열사현황종합"/>
      <sheetName val="LXLIST1"/>
      <sheetName val="상세_계산_내역"/>
      <sheetName val="A-A"/>
      <sheetName val="THEME_CODE1"/>
      <sheetName val="열간단조자동원가계산서"/>
      <sheetName val="노무비"/>
      <sheetName val="KXV01"/>
      <sheetName val="X3"/>
      <sheetName val="공수"/>
      <sheetName val="임율"/>
      <sheetName val="CR_CODE1"/>
      <sheetName val="2월"/>
      <sheetName val="부서CODE"/>
      <sheetName val="AN43"/>
      <sheetName val="4DR"/>
      <sheetName val="cr2000분석"/>
      <sheetName val="매각단가"/>
      <sheetName val="Sheet2_ ꈼύ_x0004__黠ύꋨύ_x0004__朑楃PNG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제품별"/>
      <sheetName val="CAPA분석 360K"/>
      <sheetName val=" 55 BA 장입기 091203.xlsx"/>
      <sheetName val="FAB2_Á_x0000_"/>
      <sheetName val="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DDR"/>
      <sheetName val="원가관리"/>
      <sheetName val="DATA-2001"/>
      <sheetName val="장비목록"/>
      <sheetName val="95TOTREV"/>
      <sheetName val="summary"/>
      <sheetName val="HSA"/>
      <sheetName val="부품별 매입현황"/>
      <sheetName val="FAB2_Á_x005f_x0000_"/>
      <sheetName val="기본 상수"/>
      <sheetName val="Cgs계산값1"/>
      <sheetName val="시실누(모) "/>
      <sheetName val="현우실적"/>
      <sheetName val="Aries_all_char"/>
      <sheetName val="StepperValues"/>
      <sheetName val="TG9504"/>
      <sheetName val="Ref2"/>
      <sheetName val="내역서"/>
      <sheetName val="자재 집계표"/>
      <sheetName val="BOM"/>
      <sheetName val="Credit Calc"/>
      <sheetName val="CAP"/>
      <sheetName val="Var."/>
      <sheetName val="R"/>
      <sheetName val="정리"/>
      <sheetName val="dV&amp;Cl"/>
      <sheetName val="보고서"/>
      <sheetName val="FAB2_Á_x005f_x005f_x005f_x0000_"/>
      <sheetName val="변수"/>
      <sheetName val="전압하강"/>
      <sheetName val="F-T Voltage"/>
      <sheetName val="TFT 저항"/>
      <sheetName val="费用预算"/>
      <sheetName val="변수1"/>
      <sheetName val="설계상수"/>
      <sheetName val="DATA1"/>
      <sheetName val="DATA2"/>
      <sheetName val="DATA3"/>
      <sheetName val="3-1-4 교_x0002__x0000_数8"/>
      <sheetName val="F5"/>
      <sheetName val="FOB발"/>
      <sheetName val="FAB2_Á_x005f_x005f_x005f_x005f_x005f_x005f_x005f_x0000_"/>
      <sheetName val="3-1-4 교_x005f_x0002__x005f_x0000_数8"/>
      <sheetName val="소특"/>
      <sheetName val="FAB2_Á?"/>
      <sheetName val="Cgs계산식1"/>
      <sheetName val="FAB2_Á_"/>
      <sheetName val="국내"/>
      <sheetName val="Array PI"/>
      <sheetName val="FAB2_Á_x005f_x005f_x005f_x005f_x005f_x005f_x005f_x005f_"/>
      <sheetName val="L2"/>
      <sheetName val="L1"/>
      <sheetName val="Map"/>
      <sheetName val="X13"/>
      <sheetName val="Sapphire"/>
      <sheetName val="3-1-4 교_x0002_"/>
      <sheetName val="3-1-4 교_x0002_?数8"/>
      <sheetName val="3-1-4 교_x005f_x005f_x005f_x0002__x005f_x005f_x000"/>
      <sheetName val="3-1-4 교_x005f_x0002_"/>
      <sheetName val="3-1-4 교_x005f_x0002__数8"/>
      <sheetName val="Pandora"/>
      <sheetName val="VIZIO DA가격"/>
      <sheetName val="기타 DA가격"/>
      <sheetName val="LGE DA가격"/>
      <sheetName val="잉여처분"/>
      <sheetName val="Prices"/>
      <sheetName val="DATA6"/>
      <sheetName val="3-1-4 교_x0002__数8"/>
      <sheetName val="FAB2_Á_x005f_x005f_x005f_x005f_"/>
      <sheetName val="14.1&quot; Cst 변화"/>
      <sheetName val="3-1-4 ɐ_x0000__x0000__x0000_␀"/>
      <sheetName val="PopCache"/>
      <sheetName val="표지"/>
      <sheetName val="계조에 따른 특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TOTAL"/>
      <sheetName val="W-현원가"/>
      <sheetName val="PV6 3.5L LX5 GMX170"/>
      <sheetName val="Changes in Costbook - Base FWD"/>
      <sheetName val="추이도"/>
      <sheetName val="V_FLEET"/>
      <sheetName val="7 (2)"/>
      <sheetName val="MC&amp;다변화"/>
      <sheetName val="FTR MACRo"/>
      <sheetName val="Calc"/>
      <sheetName val="제조부문배부"/>
      <sheetName val="BOM"/>
      <sheetName val="?? DATA (2)"/>
      <sheetName val="Nov 05"/>
      <sheetName val="sedan"/>
      <sheetName val="winstorm"/>
      <sheetName val="1139"/>
      <sheetName val="FUEL FILLER"/>
      <sheetName val="WEIGHT"/>
      <sheetName val="Data"/>
      <sheetName val="4.1불량율"/>
      <sheetName val="A-100전제"/>
      <sheetName val="시설투자"/>
      <sheetName val="__ DATA (2)"/>
      <sheetName val="사양조정"/>
      <sheetName val="매출대비 수선 비율"/>
      <sheetName val="가동율그래프"/>
      <sheetName val="건수"/>
      <sheetName val="Financial Model"/>
      <sheetName val="Sheet"/>
      <sheetName val="SP Summary"/>
      <sheetName val="SourcingPlan"/>
      <sheetName val="P-4 Equipment Walk"/>
      <sheetName val="완성차 미수금"/>
      <sheetName val="위험요소적출(공장)"/>
      <sheetName val="생산전망"/>
      <sheetName val="공반추이"/>
      <sheetName val="CASE ASM"/>
      <sheetName val="재해자그래프"/>
      <sheetName val="3.일반사상"/>
      <sheetName val="법인세신고자료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CD-실적"/>
      <sheetName val="받check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주행"/>
      <sheetName val="SP_Summary1"/>
      <sheetName val="P-4_Equipment_Walk1"/>
      <sheetName val="완성차_미수금1"/>
      <sheetName val="CASE_ASM1"/>
      <sheetName val="전산다운_0205_11시"/>
      <sheetName val="1st"/>
      <sheetName val="첨부5"/>
      <sheetName val="추이CHART "/>
      <sheetName val="Group"/>
      <sheetName val="MH_??"/>
      <sheetName val="LX3.0 RR"/>
      <sheetName val="여주,이천(명세)"/>
      <sheetName val="삭제금지"/>
      <sheetName val="2.????"/>
      <sheetName val="1st Sum"/>
      <sheetName val="손익(sum)"/>
      <sheetName val="ANALYSIS"/>
      <sheetName val="Sheet4"/>
      <sheetName val="Main Model"/>
      <sheetName val="BND"/>
      <sheetName val="Changes in C"/>
      <sheetName val="PP%계산"/>
      <sheetName val="Changes in C_x005f_x0000__x005f_x0000_tbook"/>
      <sheetName val="Changes in C_x005f_x005f_x005f_x0000__x005f"/>
      <sheetName val="계산program"/>
      <sheetName val="resume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Variables"/>
      <sheetName val="Drop Down Data - DO NOT MODIFY"/>
      <sheetName val="(ROUTING)"/>
      <sheetName val="02.25"/>
      <sheetName val="매출생산"/>
      <sheetName val="Roll Out - Limit"/>
      <sheetName val="p2-1"/>
      <sheetName val="採否比較金額"/>
      <sheetName val="評価比較件数"/>
      <sheetName val="Validation"/>
      <sheetName val="MH___"/>
      <sheetName val="2.____"/>
      <sheetName val="PVE Master_old"/>
      <sheetName val="PVE Master"/>
      <sheetName val="계열사현황종합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Data Validation"/>
      <sheetName val="More Info"/>
      <sheetName val="협조전"/>
      <sheetName val="품질지수 실적"/>
      <sheetName val="Threat Category"/>
      <sheetName val="목록"/>
      <sheetName val="模拟"/>
      <sheetName val="Changes in C_x005f_x005f_x005f_x005f_x005f_x005f_"/>
      <sheetName val="신규DEP"/>
      <sheetName val="Drop Down List"/>
      <sheetName val="Data Validations"/>
      <sheetName val="Introduction"/>
      <sheetName val="summary"/>
      <sheetName val="생산성"/>
      <sheetName val="불량율"/>
      <sheetName val="MACRO1.XL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기안"/>
      <sheetName val="LWR"/>
      <sheetName val="SIDE"/>
      <sheetName val="UPR"/>
      <sheetName val="차수"/>
      <sheetName val="CAUDIT"/>
      <sheetName val="현황"/>
      <sheetName val="시설투자"/>
      <sheetName val="Revision Record"/>
      <sheetName val="2"/>
      <sheetName val="개인별 필수이수과목 수(신청대상자4갑7-대리)"/>
      <sheetName val="0E Energy"/>
      <sheetName val="0C N&amp;V_PIT GAP"/>
      <sheetName val="7 (2)"/>
      <sheetName val="실행준비"/>
      <sheetName val="Tbom-tot"/>
      <sheetName val="2.대외공문"/>
      <sheetName val="총괄표"/>
      <sheetName val="DBL LPG시험"/>
      <sheetName val="협조전"/>
      <sheetName val="자체실적1Q"/>
      <sheetName val="**1"/>
      <sheetName val="PV6 3.5L LX5 GMX170"/>
      <sheetName val="초기화면"/>
      <sheetName val="Sheet1"/>
      <sheetName val="__1"/>
      <sheetName val="매출DATA"/>
      <sheetName val="Summary-Korea"/>
      <sheetName val="계산program"/>
      <sheetName val="WEIGHT"/>
      <sheetName val="LL"/>
      <sheetName val="가동율그래프"/>
      <sheetName val="DWMC"/>
      <sheetName val="군산공장추가구매"/>
      <sheetName val="항목(1)"/>
      <sheetName val="Sumy-WL"/>
      <sheetName val="Sheet2"/>
      <sheetName val="제조부문배부"/>
      <sheetName val="사양조정"/>
      <sheetName val="F-COST"/>
      <sheetName val="000000"/>
      <sheetName val="등록의뢰"/>
      <sheetName val="SGM620-02  Fcst"/>
      <sheetName val="카메라"/>
      <sheetName val="효율계획(당월)"/>
      <sheetName val="지정공장"/>
      <sheetName val="서울정비"/>
      <sheetName val="차체"/>
      <sheetName val="전체실적"/>
      <sheetName val="W-현원가"/>
      <sheetName val="MH_생산"/>
      <sheetName val="소재절감2"/>
      <sheetName val="FUEL FILLER"/>
      <sheetName val="PILOT APP."/>
      <sheetName val="16"/>
      <sheetName val="소재절감(실제A)"/>
      <sheetName val="재질변경(실제A)"/>
      <sheetName val="팀별 합계"/>
      <sheetName val="소재절감(실제B)"/>
      <sheetName val="M1master"/>
      <sheetName val="교육계획"/>
      <sheetName val="Drop List"/>
      <sheetName val="RATING"/>
      <sheetName val="BOM"/>
      <sheetName val="Team 종합"/>
      <sheetName val="전기일위대가"/>
      <sheetName val="BND"/>
      <sheetName val="xxxxxx"/>
      <sheetName val="적용환율"/>
      <sheetName val="원97"/>
      <sheetName val="1st"/>
      <sheetName val="engline"/>
      <sheetName val="GRACE"/>
      <sheetName val="R&amp;D"/>
      <sheetName val="SGM610-02  Fcst"/>
      <sheetName val="126.255"/>
      <sheetName val="FAB별"/>
      <sheetName val="주행"/>
      <sheetName val="유화"/>
      <sheetName val="냉연"/>
      <sheetName val="ORIGIN"/>
      <sheetName val="RPN 목록표(TOTAL)"/>
      <sheetName val="MH_??"/>
      <sheetName val="노무비분석"/>
      <sheetName val="Loss절감지표"/>
      <sheetName val="불량재료비절감 지표"/>
      <sheetName val="2012년 APQP 년간 계획"/>
      <sheetName val="3월"/>
      <sheetName val="월별직장평가"/>
      <sheetName val="건수"/>
      <sheetName val="PC%계산"/>
      <sheetName val="첨부3"/>
      <sheetName val="12-30"/>
      <sheetName val="세부"/>
      <sheetName val="법인+비법인"/>
      <sheetName val="LANOS"/>
      <sheetName val="LEGANZA"/>
      <sheetName val="NUBIRA"/>
      <sheetName val="CIELO발주"/>
      <sheetName val="ML"/>
      <sheetName val="2.????"/>
      <sheetName val="980"/>
      <sheetName val="CD-실적"/>
      <sheetName val="Assumption Input"/>
      <sheetName val="3.일반사상"/>
      <sheetName val="CF"/>
      <sheetName val="손익계산서"/>
      <sheetName val="Criteria"/>
      <sheetName val="Macro1"/>
      <sheetName val="검토사항"/>
      <sheetName val="LX3.0 RR"/>
      <sheetName val="Sheet"/>
      <sheetName val="정철호"/>
      <sheetName val="132下実施期GAP"/>
      <sheetName val="p2-1"/>
      <sheetName val="採否比較金額"/>
      <sheetName val="評価比較件数"/>
      <sheetName val="5. FL TEST"/>
      <sheetName val="MH___"/>
      <sheetName val="2.____"/>
      <sheetName val="진행 DATA (2) ྤ_x001b_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130114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79">
          <cell r="A79" t="str">
            <v>총자산증가율</v>
          </cell>
          <cell r="B79">
            <v>0.19347118010854045</v>
          </cell>
          <cell r="C79">
            <v>0.2616</v>
          </cell>
          <cell r="D79">
            <v>0.45286458031376459</v>
          </cell>
          <cell r="E79">
            <v>0.19170000000000001</v>
          </cell>
        </row>
        <row r="80">
          <cell r="A80" t="str">
            <v>고정자산증가율</v>
          </cell>
          <cell r="B80">
            <v>1.0036053189473173</v>
          </cell>
          <cell r="C80">
            <v>0.159</v>
          </cell>
          <cell r="D80">
            <v>1.9277879945093623</v>
          </cell>
          <cell r="E80">
            <v>0.2576</v>
          </cell>
        </row>
        <row r="81">
          <cell r="A81" t="str">
            <v>유동자산증가율</v>
          </cell>
          <cell r="B81">
            <v>0.15698588385350534</v>
          </cell>
          <cell r="C81">
            <v>0.34539999999999998</v>
          </cell>
          <cell r="D81">
            <v>0.32723125398314512</v>
          </cell>
          <cell r="E81">
            <v>0.19800000000000001</v>
          </cell>
        </row>
        <row r="82">
          <cell r="A82" t="str">
            <v>재고자산증가율</v>
          </cell>
          <cell r="B82">
            <v>0.26657158910087109</v>
          </cell>
          <cell r="C82">
            <v>0.25030000000000002</v>
          </cell>
          <cell r="D82">
            <v>0.27970207464647473</v>
          </cell>
          <cell r="E82">
            <v>0.22500000000000001</v>
          </cell>
        </row>
        <row r="83">
          <cell r="A83" t="str">
            <v>자기자본증가율</v>
          </cell>
          <cell r="B83">
            <v>0.17985764963539821</v>
          </cell>
          <cell r="C83">
            <v>0.10200000000000001</v>
          </cell>
          <cell r="D83">
            <v>0.33873706892616162</v>
          </cell>
          <cell r="E83">
            <v>0.2492</v>
          </cell>
        </row>
        <row r="84">
          <cell r="A84" t="str">
            <v>매출액증가율</v>
          </cell>
          <cell r="B84">
            <v>0.52050597382423047</v>
          </cell>
          <cell r="C84">
            <v>0.19220000000000001</v>
          </cell>
          <cell r="D84">
            <v>0.43663187936814196</v>
          </cell>
          <cell r="E84">
            <v>0.3377</v>
          </cell>
        </row>
        <row r="113">
          <cell r="A113" t="str">
            <v>총자산경상이익율</v>
          </cell>
          <cell r="B113">
            <v>5.7861552197324376E-2</v>
          </cell>
          <cell r="C113">
            <v>2.87E-2</v>
          </cell>
          <cell r="D113">
            <v>5.6606447007358743E-2</v>
          </cell>
          <cell r="E113">
            <v>5.11E-2</v>
          </cell>
        </row>
        <row r="114">
          <cell r="A114" t="str">
            <v>총자산순이익율</v>
          </cell>
          <cell r="B114">
            <v>4.1088373727544446E-2</v>
          </cell>
          <cell r="C114">
            <v>1.9700000000000002E-2</v>
          </cell>
          <cell r="D114">
            <v>3.9813070502762553E-2</v>
          </cell>
          <cell r="E114">
            <v>3.5799999999999998E-2</v>
          </cell>
        </row>
        <row r="115">
          <cell r="A115" t="str">
            <v>자기자본순이익율</v>
          </cell>
          <cell r="B115">
            <v>0.21030559791094108</v>
          </cell>
          <cell r="C115">
            <v>0.1216</v>
          </cell>
          <cell r="D115">
            <v>0.22115023274054119</v>
          </cell>
          <cell r="E115">
            <v>0.1787</v>
          </cell>
        </row>
        <row r="116">
          <cell r="A116" t="str">
            <v>차입금평균이자율</v>
          </cell>
          <cell r="B116">
            <v>0.12880730045295752</v>
          </cell>
          <cell r="C116">
            <v>0.1164</v>
          </cell>
          <cell r="D116">
            <v>0.13631891259081852</v>
          </cell>
          <cell r="E116">
            <v>0.13270000000000001</v>
          </cell>
        </row>
        <row r="117">
          <cell r="A117" t="str">
            <v>매출액경상이익율</v>
          </cell>
          <cell r="B117">
            <v>3.6787576696075026E-2</v>
          </cell>
          <cell r="C117">
            <v>2.3100000000000002E-2</v>
          </cell>
          <cell r="D117">
            <v>3.6396249543200539E-2</v>
          </cell>
          <cell r="E117">
            <v>3.6200000000000003E-2</v>
          </cell>
        </row>
        <row r="118">
          <cell r="A118" t="str">
            <v>매출액순이익률</v>
          </cell>
          <cell r="B118">
            <v>2.6123421208339652E-2</v>
          </cell>
          <cell r="C118">
            <v>1.5900000000000001E-2</v>
          </cell>
          <cell r="D118">
            <v>2.5598611566474201E-2</v>
          </cell>
          <cell r="E118">
            <v>2.5400000000000002E-2</v>
          </cell>
        </row>
        <row r="119">
          <cell r="A119" t="str">
            <v>매출액영업이익률</v>
          </cell>
          <cell r="B119">
            <v>4.3154177441648379E-2</v>
          </cell>
          <cell r="C119">
            <v>6.6799999999999998E-2</v>
          </cell>
          <cell r="D119">
            <v>7.853350814012891E-2</v>
          </cell>
          <cell r="E119">
            <v>7.1300000000000002E-2</v>
          </cell>
        </row>
        <row r="148">
          <cell r="A148" t="str">
            <v>자기자본비율</v>
          </cell>
          <cell r="B148">
            <v>0.19537460788344918</v>
          </cell>
          <cell r="C148">
            <v>0.22159999999999999</v>
          </cell>
          <cell r="D148">
            <v>0.18002726024472337</v>
          </cell>
          <cell r="E148">
            <v>0.29189999999999999</v>
          </cell>
        </row>
        <row r="149">
          <cell r="A149" t="str">
            <v>유동비율</v>
          </cell>
          <cell r="B149">
            <v>1.235399055798273</v>
          </cell>
          <cell r="C149">
            <v>1.1627000000000001</v>
          </cell>
          <cell r="D149">
            <v>1.1398282750420898</v>
          </cell>
          <cell r="E149">
            <v>1.2373000000000001</v>
          </cell>
        </row>
        <row r="150">
          <cell r="A150" t="str">
            <v>당좌비율</v>
          </cell>
          <cell r="B150">
            <v>0.92806427887497789</v>
          </cell>
          <cell r="C150">
            <v>0.82900000000000007</v>
          </cell>
          <cell r="D150">
            <v>0.86439133505403909</v>
          </cell>
          <cell r="E150">
            <v>0.81220000000000003</v>
          </cell>
        </row>
        <row r="151">
          <cell r="A151" t="str">
            <v>고정비율</v>
          </cell>
          <cell r="B151">
            <v>0.50481360079617976</v>
          </cell>
          <cell r="C151">
            <v>1.7063999999999999</v>
          </cell>
          <cell r="D151">
            <v>0.98114000238708243</v>
          </cell>
          <cell r="E151">
            <v>1.1568000000000001</v>
          </cell>
        </row>
        <row r="152">
          <cell r="A152" t="str">
            <v>부채비율</v>
          </cell>
          <cell r="B152">
            <v>4.1183723966655403</v>
          </cell>
          <cell r="C152">
            <v>3.5124</v>
          </cell>
          <cell r="D152">
            <v>4.5547143173796654</v>
          </cell>
          <cell r="E152">
            <v>2.4262999999999999</v>
          </cell>
        </row>
        <row r="153">
          <cell r="A153" t="str">
            <v>유동부채비율</v>
          </cell>
          <cell r="B153">
            <v>3.7341964701478227</v>
          </cell>
          <cell r="C153">
            <v>2.3174000000000001</v>
          </cell>
          <cell r="D153">
            <v>4.0125117222800046</v>
          </cell>
          <cell r="E153">
            <v>1.7485999999999999</v>
          </cell>
        </row>
        <row r="154">
          <cell r="A154" t="str">
            <v>고정부채비율</v>
          </cell>
          <cell r="B154">
            <v>0.17864740739388074</v>
          </cell>
          <cell r="C154">
            <v>1.1950000000000001</v>
          </cell>
          <cell r="D154">
            <v>7.364490443144811E-2</v>
          </cell>
          <cell r="E154">
            <v>0.67679999999999996</v>
          </cell>
        </row>
        <row r="155">
          <cell r="A155" t="str">
            <v>매출채권대매입채무</v>
          </cell>
          <cell r="B155">
            <v>1.2275501992984001</v>
          </cell>
          <cell r="C155">
            <v>1.5289999999999999</v>
          </cell>
          <cell r="D155">
            <v>1.2031935347905331</v>
          </cell>
          <cell r="E155">
            <v>1.167</v>
          </cell>
        </row>
        <row r="156">
          <cell r="A156" t="str">
            <v>순운전자본대총자산</v>
          </cell>
          <cell r="B156">
            <v>0.17173942322186236</v>
          </cell>
          <cell r="C156">
            <v>8.3600000000000008E-2</v>
          </cell>
          <cell r="D156">
            <v>0.10100656139184655</v>
          </cell>
          <cell r="E156">
            <v>0.1211</v>
          </cell>
        </row>
        <row r="185">
          <cell r="A185" t="str">
            <v>재고자산회전율</v>
          </cell>
          <cell r="B185">
            <v>7.9768026862237846</v>
          </cell>
          <cell r="C185">
            <v>8.67</v>
          </cell>
          <cell r="D185">
            <v>8.9957204956725594</v>
          </cell>
          <cell r="E185">
            <v>7.8</v>
          </cell>
        </row>
        <row r="186">
          <cell r="A186" t="str">
            <v>매출채권회전율</v>
          </cell>
          <cell r="B186">
            <v>3.5208917886987412</v>
          </cell>
          <cell r="C186">
            <v>4.1399999999999997</v>
          </cell>
          <cell r="D186">
            <v>3.9354550472143552</v>
          </cell>
          <cell r="E186">
            <v>5.2700000000000005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외주현황.wq1"/>
      <sheetName val="진행 DATA (2)"/>
      <sheetName val="진행_DATA_(2)"/>
      <sheetName val="W-현원가"/>
      <sheetName val="CAUDIT"/>
      <sheetName val="사양조정"/>
      <sheetName val="영동(D)"/>
      <sheetName val="FUEL FILLER"/>
      <sheetName val="PRO-SUM"/>
      <sheetName val="표지"/>
      <sheetName val="p2-1"/>
      <sheetName val="Sheet1"/>
      <sheetName val="냉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굂굍"/>
      <sheetName val="굊굍"/>
      <sheetName val="WEIGHT"/>
      <sheetName val="원재료단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항목일람표"/>
      <sheetName val="DATE"/>
      <sheetName val="기안"/>
      <sheetName val="WEIGHT"/>
      <sheetName val="굂굍"/>
      <sheetName val="굊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m_bmp"/>
      <sheetName val="list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양식"/>
      <sheetName val="#REF"/>
      <sheetName val="list"/>
      <sheetName val="품의양식.XLS"/>
      <sheetName val="%ED%92%88%EC%9D%98%EC%96%91%EC%"/>
      <sheetName val="진행 DATA (2)"/>
      <sheetName val="삼덕"/>
    </sheetNames>
    <definedNames>
      <definedName name="DBFTOXLS"/>
      <definedName name="product"/>
      <definedName name="TOADDTION"/>
      <definedName name="TOEDDTING"/>
      <definedName name="TOINQUIRY"/>
      <definedName name="TOTALPRIN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XXXXXXXXXX"/>
      <sheetName val="보고서"/>
      <sheetName val="정규분포"/>
      <sheetName val="히스토그램"/>
      <sheetName val="관리도"/>
      <sheetName val="도움말"/>
      <sheetName val="파레도"/>
      <sheetName val="Sheet1"/>
      <sheetName val="COR"/>
      <sheetName val="표준정규분포표"/>
      <sheetName val="4.6"/>
      <sheetName val="A - 07,11P"/>
      <sheetName val="BOM"/>
      <sheetName val="외화가수금"/>
      <sheetName val="DBL LPG시험"/>
      <sheetName val="유효성평가 시트"/>
      <sheetName val="신규DEP"/>
      <sheetName val="Product"/>
    </sheetNames>
    <sheetDataSet>
      <sheetData sheetId="0"/>
      <sheetData sheetId="1"/>
      <sheetData sheetId="2"/>
      <sheetData sheetId="3"/>
      <sheetData sheetId="4"/>
      <sheetData sheetId="5">
        <row r="3">
          <cell r="AA3" t="str">
            <v>Control Limit Factors</v>
          </cell>
        </row>
        <row r="4">
          <cell r="AA4" t="str">
            <v>n</v>
          </cell>
          <cell r="AB4" t="str">
            <v>A2</v>
          </cell>
          <cell r="AC4" t="str">
            <v>D3</v>
          </cell>
          <cell r="AD4" t="str">
            <v>D4</v>
          </cell>
          <cell r="AE4" t="str">
            <v>E2</v>
          </cell>
          <cell r="AF4" t="str">
            <v>A3</v>
          </cell>
          <cell r="AG4" t="str">
            <v>B3</v>
          </cell>
          <cell r="AH4" t="str">
            <v>B4</v>
          </cell>
          <cell r="AI4" t="str">
            <v>A2</v>
          </cell>
          <cell r="AJ4" t="str">
            <v>d2</v>
          </cell>
          <cell r="AK4" t="str">
            <v>c4</v>
          </cell>
        </row>
        <row r="5">
          <cell r="AA5">
            <v>2</v>
          </cell>
          <cell r="AB5">
            <v>1.88</v>
          </cell>
          <cell r="AC5" t="str">
            <v xml:space="preserve"> -</v>
          </cell>
          <cell r="AD5">
            <v>3.2669999999999999</v>
          </cell>
          <cell r="AE5">
            <v>2.66</v>
          </cell>
          <cell r="AF5">
            <v>2.6589999999999998</v>
          </cell>
          <cell r="AG5" t="str">
            <v xml:space="preserve"> -</v>
          </cell>
          <cell r="AH5">
            <v>3.2669999999999999</v>
          </cell>
          <cell r="AI5">
            <v>1.88</v>
          </cell>
          <cell r="AJ5">
            <v>1.1279999999999999</v>
          </cell>
          <cell r="AK5">
            <v>0.79790000000000005</v>
          </cell>
        </row>
        <row r="6">
          <cell r="AA6">
            <v>3</v>
          </cell>
          <cell r="AB6">
            <v>1.0229999999999999</v>
          </cell>
          <cell r="AC6" t="str">
            <v xml:space="preserve"> -</v>
          </cell>
          <cell r="AD6">
            <v>2.5739999999999998</v>
          </cell>
          <cell r="AE6">
            <v>1.772</v>
          </cell>
          <cell r="AF6">
            <v>1.954</v>
          </cell>
          <cell r="AG6" t="str">
            <v xml:space="preserve"> -</v>
          </cell>
          <cell r="AH6">
            <v>2.5680000000000001</v>
          </cell>
          <cell r="AI6">
            <v>1.19</v>
          </cell>
          <cell r="AJ6">
            <v>1.6930000000000001</v>
          </cell>
          <cell r="AK6">
            <v>0.88619999999999999</v>
          </cell>
        </row>
        <row r="7">
          <cell r="AA7">
            <v>4</v>
          </cell>
          <cell r="AB7">
            <v>0.72899999999999998</v>
          </cell>
          <cell r="AC7" t="str">
            <v xml:space="preserve"> -</v>
          </cell>
          <cell r="AD7">
            <v>2.282</v>
          </cell>
          <cell r="AE7">
            <v>0</v>
          </cell>
          <cell r="AF7">
            <v>1.6279999999999999</v>
          </cell>
          <cell r="AG7" t="str">
            <v xml:space="preserve"> -</v>
          </cell>
          <cell r="AH7">
            <v>2.266</v>
          </cell>
          <cell r="AI7">
            <v>0.8</v>
          </cell>
          <cell r="AJ7">
            <v>2.0590000000000002</v>
          </cell>
          <cell r="AK7">
            <v>0.92130000000000001</v>
          </cell>
        </row>
        <row r="8">
          <cell r="AA8">
            <v>5</v>
          </cell>
          <cell r="AB8">
            <v>0.57699999999999996</v>
          </cell>
          <cell r="AC8" t="str">
            <v xml:space="preserve"> -</v>
          </cell>
          <cell r="AD8">
            <v>2.1139999999999999</v>
          </cell>
          <cell r="AE8">
            <v>1.29</v>
          </cell>
          <cell r="AF8">
            <v>1.427</v>
          </cell>
          <cell r="AG8" t="str">
            <v xml:space="preserve"> -</v>
          </cell>
          <cell r="AH8">
            <v>2.089</v>
          </cell>
          <cell r="AI8">
            <v>0.69</v>
          </cell>
          <cell r="AJ8">
            <v>2.3260000000000001</v>
          </cell>
          <cell r="AK8">
            <v>0.94</v>
          </cell>
        </row>
        <row r="9">
          <cell r="AA9">
            <v>6</v>
          </cell>
          <cell r="AB9">
            <v>0.48299999999999998</v>
          </cell>
          <cell r="AC9" t="str">
            <v xml:space="preserve"> -</v>
          </cell>
          <cell r="AD9">
            <v>2.004</v>
          </cell>
          <cell r="AE9">
            <v>1.1839999999999999</v>
          </cell>
          <cell r="AF9">
            <v>1.2869999999999999</v>
          </cell>
          <cell r="AG9">
            <v>0.03</v>
          </cell>
          <cell r="AH9">
            <v>1.97</v>
          </cell>
          <cell r="AI9">
            <v>0.55000000000000004</v>
          </cell>
          <cell r="AJ9">
            <v>2.5339999999999998</v>
          </cell>
          <cell r="AK9">
            <v>0.95150000000000001</v>
          </cell>
        </row>
        <row r="10">
          <cell r="AA10">
            <v>7</v>
          </cell>
          <cell r="AB10">
            <v>0.41899999999999998</v>
          </cell>
          <cell r="AC10">
            <v>7.5999999999999998E-2</v>
          </cell>
          <cell r="AD10">
            <v>1.9239999999999999</v>
          </cell>
          <cell r="AE10">
            <v>1.109</v>
          </cell>
          <cell r="AF10">
            <v>1.1819999999999999</v>
          </cell>
          <cell r="AG10">
            <v>0.11799999999999999</v>
          </cell>
          <cell r="AH10">
            <v>1.8819999999999999</v>
          </cell>
          <cell r="AI10">
            <v>0.51</v>
          </cell>
          <cell r="AJ10">
            <v>2.7040000000000002</v>
          </cell>
          <cell r="AK10">
            <v>0.95940000000000003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종합"/>
      <sheetName val="회의자료"/>
      <sheetName val="CALSHEET"/>
      <sheetName val="개발,설변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INPUT "/>
      <sheetName val="CALSHEET"/>
      <sheetName val="Pipe size"/>
      <sheetName val="Module1"/>
      <sheetName val="Property(air)"/>
      <sheetName val="loading data"/>
      <sheetName val="Purifier data(samgong)"/>
      <sheetName val="Barometric pressure"/>
      <sheetName val="BOILER"/>
      <sheetName val="LIST"/>
      <sheetName val="BM"/>
      <sheetName val="협조전"/>
      <sheetName val="종합"/>
      <sheetName val="Auxequip_cal"/>
      <sheetName val="CFLOW"/>
      <sheetName val="WEIGHT"/>
    </sheetNames>
    <sheetDataSet>
      <sheetData sheetId="0"/>
      <sheetData sheetId="1"/>
      <sheetData sheetId="2">
        <row r="19">
          <cell r="D19">
            <v>5.0999999999999996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설업체주소록"/>
      <sheetName val="CALSHEET"/>
      <sheetName val="협조전"/>
      <sheetName val="종합"/>
      <sheetName val="개발,설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"/>
      <sheetName val="PL"/>
      <sheetName val="MEA"/>
      <sheetName val="SA"/>
      <sheetName val="SA (2)"/>
      <sheetName val="CERT"/>
      <sheetName val="CERT (2)"/>
      <sheetName val="CO"/>
      <sheetName val="DRAFT"/>
      <sheetName val="list"/>
      <sheetName val="CA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체생산결과"/>
      <sheetName val="산동생산소체(정방향)"/>
      <sheetName val="본산생산소체 (무방향)"/>
      <sheetName val="4.6"/>
      <sheetName val="도움말"/>
      <sheetName val="등급표"/>
      <sheetName val="표준정규분포표"/>
      <sheetName val="5.1 (2)"/>
      <sheetName val="정방향 정렬과 무방뱡정렬 특성비교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t1＼t2</v>
          </cell>
          <cell r="B2">
            <v>0</v>
          </cell>
          <cell r="C2">
            <v>1</v>
          </cell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  <cell r="K2">
            <v>9</v>
          </cell>
        </row>
        <row r="3">
          <cell r="A3">
            <v>0</v>
          </cell>
          <cell r="B3">
            <v>0.5</v>
          </cell>
          <cell r="C3">
            <v>0.496</v>
          </cell>
          <cell r="D3">
            <v>0.49199999999999999</v>
          </cell>
          <cell r="E3">
            <v>0.48799999999999999</v>
          </cell>
          <cell r="F3">
            <v>0.48399999999999999</v>
          </cell>
          <cell r="G3">
            <v>0.48010000000000003</v>
          </cell>
          <cell r="H3">
            <v>0.47610000000000002</v>
          </cell>
          <cell r="I3">
            <v>0.47210000000000002</v>
          </cell>
          <cell r="J3">
            <v>0.46810000000000002</v>
          </cell>
          <cell r="K3">
            <v>0.46410000000000001</v>
          </cell>
        </row>
        <row r="4">
          <cell r="A4">
            <v>1</v>
          </cell>
          <cell r="B4">
            <v>0.4602</v>
          </cell>
          <cell r="C4">
            <v>0.45619999999999999</v>
          </cell>
          <cell r="D4">
            <v>0.45219999999999999</v>
          </cell>
          <cell r="E4">
            <v>0.44829999999999998</v>
          </cell>
          <cell r="F4">
            <v>0.44429999999999997</v>
          </cell>
          <cell r="G4">
            <v>0.44040000000000001</v>
          </cell>
          <cell r="H4">
            <v>0.43640000000000001</v>
          </cell>
          <cell r="I4">
            <v>0.4325</v>
          </cell>
          <cell r="J4">
            <v>0.42859999999999998</v>
          </cell>
          <cell r="K4">
            <v>0.42470000000000002</v>
          </cell>
        </row>
        <row r="5">
          <cell r="A5">
            <v>2</v>
          </cell>
          <cell r="B5">
            <v>0.42070000000000002</v>
          </cell>
          <cell r="C5">
            <v>0.4168</v>
          </cell>
          <cell r="D5">
            <v>0.41289999999999999</v>
          </cell>
          <cell r="E5">
            <v>0.40899999999999997</v>
          </cell>
          <cell r="F5">
            <v>0.4052</v>
          </cell>
          <cell r="G5">
            <v>0.40129999999999999</v>
          </cell>
          <cell r="H5">
            <v>0.39739999999999998</v>
          </cell>
          <cell r="I5">
            <v>0.39360000000000001</v>
          </cell>
          <cell r="J5">
            <v>0.38969999999999999</v>
          </cell>
          <cell r="K5">
            <v>0.38590000000000002</v>
          </cell>
        </row>
        <row r="6">
          <cell r="A6">
            <v>3</v>
          </cell>
          <cell r="B6">
            <v>0.3821</v>
          </cell>
          <cell r="C6">
            <v>0.37830000000000003</v>
          </cell>
          <cell r="D6">
            <v>0.3745</v>
          </cell>
          <cell r="E6">
            <v>0.37069999999999997</v>
          </cell>
          <cell r="F6">
            <v>0.3669</v>
          </cell>
          <cell r="G6">
            <v>0.36320000000000002</v>
          </cell>
          <cell r="H6">
            <v>0.3594</v>
          </cell>
          <cell r="I6">
            <v>0.35570000000000002</v>
          </cell>
          <cell r="J6">
            <v>0.35199999999999998</v>
          </cell>
          <cell r="K6">
            <v>0.3483</v>
          </cell>
        </row>
        <row r="7">
          <cell r="A7">
            <v>4</v>
          </cell>
          <cell r="B7">
            <v>0.34460000000000002</v>
          </cell>
          <cell r="C7">
            <v>0.34089999999999998</v>
          </cell>
          <cell r="D7">
            <v>0.3372</v>
          </cell>
          <cell r="E7">
            <v>0.33360000000000001</v>
          </cell>
          <cell r="F7">
            <v>0.33</v>
          </cell>
          <cell r="G7">
            <v>0.32640000000000002</v>
          </cell>
          <cell r="H7">
            <v>0.32279999999999998</v>
          </cell>
          <cell r="I7">
            <v>0.31919999999999998</v>
          </cell>
          <cell r="J7">
            <v>0.31559999999999999</v>
          </cell>
          <cell r="K7">
            <v>0.31209999999999999</v>
          </cell>
        </row>
        <row r="8">
          <cell r="A8">
            <v>5</v>
          </cell>
          <cell r="B8">
            <v>0.3085</v>
          </cell>
          <cell r="C8">
            <v>0.30499999999999999</v>
          </cell>
          <cell r="D8">
            <v>0.30149999999999999</v>
          </cell>
          <cell r="E8">
            <v>0.29809999999999998</v>
          </cell>
          <cell r="F8">
            <v>0.29459999999999997</v>
          </cell>
          <cell r="G8">
            <v>0.29120000000000001</v>
          </cell>
          <cell r="H8">
            <v>0.28970000000000001</v>
          </cell>
          <cell r="I8">
            <v>0.2843</v>
          </cell>
          <cell r="J8">
            <v>0.28100000000000003</v>
          </cell>
          <cell r="K8">
            <v>0.27760000000000001</v>
          </cell>
        </row>
        <row r="9">
          <cell r="A9">
            <v>6</v>
          </cell>
          <cell r="B9">
            <v>0.27429999999999999</v>
          </cell>
          <cell r="C9">
            <v>0.27089999999999997</v>
          </cell>
          <cell r="D9">
            <v>0.2676</v>
          </cell>
          <cell r="E9">
            <v>0.26429999999999998</v>
          </cell>
          <cell r="F9">
            <v>0.2611</v>
          </cell>
          <cell r="G9">
            <v>0.25779999999999997</v>
          </cell>
          <cell r="H9">
            <v>0.25459999999999999</v>
          </cell>
          <cell r="I9">
            <v>0.25140000000000001</v>
          </cell>
          <cell r="J9">
            <v>0.24829999999999999</v>
          </cell>
          <cell r="K9">
            <v>0.24510000000000001</v>
          </cell>
        </row>
        <row r="10">
          <cell r="A10">
            <v>7</v>
          </cell>
          <cell r="B10">
            <v>0.24199999999999999</v>
          </cell>
          <cell r="C10">
            <v>0.2389</v>
          </cell>
          <cell r="D10">
            <v>0.23580000000000001</v>
          </cell>
          <cell r="E10">
            <v>0.23269999999999999</v>
          </cell>
          <cell r="F10">
            <v>0.2296</v>
          </cell>
          <cell r="G10">
            <v>0.2266</v>
          </cell>
          <cell r="H10">
            <v>0.22359999999999999</v>
          </cell>
          <cell r="I10">
            <v>0.22059999999999999</v>
          </cell>
          <cell r="J10">
            <v>0.2177</v>
          </cell>
          <cell r="K10">
            <v>0.21479999999999999</v>
          </cell>
        </row>
        <row r="11">
          <cell r="A11">
            <v>8</v>
          </cell>
          <cell r="B11">
            <v>0.21190000000000001</v>
          </cell>
          <cell r="C11">
            <v>0.20899999999999999</v>
          </cell>
          <cell r="D11">
            <v>0.20610000000000001</v>
          </cell>
          <cell r="E11">
            <v>0.20330000000000001</v>
          </cell>
          <cell r="F11">
            <v>0.20050000000000001</v>
          </cell>
          <cell r="G11">
            <v>0.19769999999999999</v>
          </cell>
          <cell r="H11">
            <v>0.19489999999999999</v>
          </cell>
          <cell r="I11">
            <v>0.19220000000000001</v>
          </cell>
          <cell r="J11">
            <v>0.18909999999999999</v>
          </cell>
          <cell r="K11">
            <v>0.1867</v>
          </cell>
        </row>
        <row r="12">
          <cell r="A12">
            <v>9</v>
          </cell>
          <cell r="B12">
            <v>0.18410000000000001</v>
          </cell>
          <cell r="C12">
            <v>0.18140000000000001</v>
          </cell>
          <cell r="D12">
            <v>0.17879999999999999</v>
          </cell>
          <cell r="E12">
            <v>0.1762</v>
          </cell>
          <cell r="F12">
            <v>0.1736</v>
          </cell>
          <cell r="G12">
            <v>0.1711</v>
          </cell>
          <cell r="H12">
            <v>0.16850000000000001</v>
          </cell>
          <cell r="I12">
            <v>0.16600000000000001</v>
          </cell>
          <cell r="J12">
            <v>0.16350000000000001</v>
          </cell>
          <cell r="K12">
            <v>0.16109999999999999</v>
          </cell>
        </row>
        <row r="13">
          <cell r="A13">
            <v>10</v>
          </cell>
          <cell r="B13">
            <v>0.15870000000000001</v>
          </cell>
          <cell r="C13">
            <v>0.15620000000000001</v>
          </cell>
          <cell r="D13">
            <v>0.15390000000000001</v>
          </cell>
          <cell r="E13">
            <v>0.1515</v>
          </cell>
          <cell r="F13">
            <v>0.1492</v>
          </cell>
          <cell r="G13">
            <v>0.1469</v>
          </cell>
          <cell r="H13">
            <v>0.14460000000000001</v>
          </cell>
          <cell r="I13">
            <v>0.14230000000000001</v>
          </cell>
          <cell r="J13">
            <v>0.1401</v>
          </cell>
          <cell r="K13">
            <v>0.13789999999999999</v>
          </cell>
        </row>
        <row r="14">
          <cell r="A14">
            <v>11</v>
          </cell>
          <cell r="B14">
            <v>0.13569999999999999</v>
          </cell>
          <cell r="C14">
            <v>0.13350000000000001</v>
          </cell>
          <cell r="D14">
            <v>0.13139999999999999</v>
          </cell>
          <cell r="E14">
            <v>0.12920000000000001</v>
          </cell>
          <cell r="F14">
            <v>0.12709999999999999</v>
          </cell>
          <cell r="G14">
            <v>0.12509999999999999</v>
          </cell>
          <cell r="H14">
            <v>0.123</v>
          </cell>
          <cell r="I14">
            <v>0.121</v>
          </cell>
          <cell r="J14">
            <v>0.11899999999999999</v>
          </cell>
          <cell r="K14">
            <v>0.11700000000000001</v>
          </cell>
        </row>
        <row r="15">
          <cell r="A15">
            <v>12</v>
          </cell>
          <cell r="B15">
            <v>0.11509999999999999</v>
          </cell>
          <cell r="C15">
            <v>0.11310000000000001</v>
          </cell>
          <cell r="D15">
            <v>0.11119999999999999</v>
          </cell>
          <cell r="E15">
            <v>0.10929999999999999</v>
          </cell>
          <cell r="F15">
            <v>0.1075</v>
          </cell>
          <cell r="G15">
            <v>0.1056</v>
          </cell>
          <cell r="H15">
            <v>0.1038</v>
          </cell>
          <cell r="I15">
            <v>0.10199999999999999</v>
          </cell>
          <cell r="J15">
            <v>0.1003</v>
          </cell>
          <cell r="K15">
            <v>9.8500000000000004E-2</v>
          </cell>
        </row>
        <row r="16">
          <cell r="A16">
            <v>13</v>
          </cell>
          <cell r="B16">
            <v>9.6799999999999997E-2</v>
          </cell>
          <cell r="C16">
            <v>9.5100000000000004E-2</v>
          </cell>
          <cell r="D16">
            <v>9.3399999999999997E-2</v>
          </cell>
          <cell r="E16">
            <v>9.1800000000000007E-2</v>
          </cell>
          <cell r="F16">
            <v>9.01E-2</v>
          </cell>
          <cell r="G16">
            <v>8.8499999999999995E-2</v>
          </cell>
          <cell r="H16">
            <v>8.6900000000000005E-2</v>
          </cell>
          <cell r="I16">
            <v>8.5300000000000001E-2</v>
          </cell>
          <cell r="J16">
            <v>8.3799999999999999E-2</v>
          </cell>
          <cell r="K16">
            <v>8.2299999999999998E-2</v>
          </cell>
        </row>
        <row r="17">
          <cell r="A17">
            <v>14</v>
          </cell>
          <cell r="B17">
            <v>8.0799999999999997E-2</v>
          </cell>
          <cell r="C17">
            <v>7.9299999999999995E-2</v>
          </cell>
          <cell r="D17">
            <v>7.7799999999999994E-2</v>
          </cell>
          <cell r="E17">
            <v>7.6399999999999996E-2</v>
          </cell>
          <cell r="F17">
            <v>7.4899999999999994E-2</v>
          </cell>
          <cell r="G17">
            <v>7.3499999999999996E-2</v>
          </cell>
          <cell r="H17">
            <v>7.2099999999999997E-2</v>
          </cell>
          <cell r="I17">
            <v>7.0800000000000002E-2</v>
          </cell>
          <cell r="J17">
            <v>6.9400000000000003E-2</v>
          </cell>
          <cell r="K17">
            <v>6.8099999999999994E-2</v>
          </cell>
        </row>
        <row r="18">
          <cell r="A18">
            <v>15</v>
          </cell>
          <cell r="B18">
            <v>6.6799999999999998E-2</v>
          </cell>
          <cell r="C18">
            <v>6.5500000000000003E-2</v>
          </cell>
          <cell r="D18">
            <v>6.4299999999999996E-2</v>
          </cell>
          <cell r="E18">
            <v>6.3E-2</v>
          </cell>
          <cell r="F18">
            <v>6.1800000000000001E-2</v>
          </cell>
          <cell r="G18">
            <v>6.0600000000000001E-2</v>
          </cell>
          <cell r="H18">
            <v>5.9400000000000001E-2</v>
          </cell>
          <cell r="I18">
            <v>5.8200000000000002E-2</v>
          </cell>
          <cell r="J18">
            <v>5.7099999999999998E-2</v>
          </cell>
          <cell r="K18">
            <v>5.5899999999999998E-2</v>
          </cell>
        </row>
        <row r="19">
          <cell r="A19">
            <v>16</v>
          </cell>
          <cell r="B19">
            <v>5.4800000000000001E-2</v>
          </cell>
          <cell r="C19">
            <v>5.3699999999999998E-2</v>
          </cell>
          <cell r="D19">
            <v>5.2600000000000001E-2</v>
          </cell>
          <cell r="E19">
            <v>5.16E-2</v>
          </cell>
          <cell r="F19">
            <v>5.0500000000000003E-2</v>
          </cell>
          <cell r="G19">
            <v>4.9500000000000002E-2</v>
          </cell>
          <cell r="H19">
            <v>4.8500000000000001E-2</v>
          </cell>
          <cell r="I19">
            <v>4.7500000000000001E-2</v>
          </cell>
          <cell r="J19">
            <v>4.65E-2</v>
          </cell>
          <cell r="K19">
            <v>4.5499999999999999E-2</v>
          </cell>
        </row>
        <row r="20">
          <cell r="A20">
            <v>17</v>
          </cell>
          <cell r="B20">
            <v>4.4600000000000001E-2</v>
          </cell>
          <cell r="C20">
            <v>4.36E-2</v>
          </cell>
          <cell r="D20">
            <v>4.2700000000000002E-2</v>
          </cell>
          <cell r="E20">
            <v>4.1799999999999997E-2</v>
          </cell>
          <cell r="F20">
            <v>4.0899999999999999E-2</v>
          </cell>
          <cell r="G20">
            <v>4.0099999999999997E-2</v>
          </cell>
          <cell r="H20">
            <v>3.9199999999999999E-2</v>
          </cell>
          <cell r="I20">
            <v>3.8399999999999997E-2</v>
          </cell>
          <cell r="J20">
            <v>3.7499999999999999E-2</v>
          </cell>
          <cell r="K20">
            <v>3.6700000000000003E-2</v>
          </cell>
        </row>
        <row r="21">
          <cell r="A21">
            <v>18</v>
          </cell>
          <cell r="B21">
            <v>3.5900000000000001E-2</v>
          </cell>
          <cell r="C21">
            <v>3.5099999999999999E-2</v>
          </cell>
          <cell r="D21">
            <v>3.44E-2</v>
          </cell>
          <cell r="E21">
            <v>3.3599999999999998E-2</v>
          </cell>
          <cell r="F21">
            <v>3.2899999999999999E-2</v>
          </cell>
          <cell r="G21">
            <v>3.2199999999999999E-2</v>
          </cell>
          <cell r="H21">
            <v>3.1399999999999997E-2</v>
          </cell>
          <cell r="I21">
            <v>3.0700000000000002E-2</v>
          </cell>
          <cell r="J21">
            <v>3.0099999999999998E-2</v>
          </cell>
          <cell r="K21">
            <v>2.9399999999999999E-2</v>
          </cell>
        </row>
        <row r="22">
          <cell r="A22">
            <v>19</v>
          </cell>
          <cell r="B22">
            <v>2.87E-2</v>
          </cell>
          <cell r="C22">
            <v>2.81E-2</v>
          </cell>
          <cell r="D22">
            <v>2.7400000000000001E-2</v>
          </cell>
          <cell r="E22">
            <v>2.6800000000000001E-2</v>
          </cell>
          <cell r="F22">
            <v>2.6200000000000001E-2</v>
          </cell>
          <cell r="G22">
            <v>2.5600000000000001E-2</v>
          </cell>
          <cell r="H22">
            <v>2.5000000000000001E-2</v>
          </cell>
          <cell r="I22">
            <v>2.4400000000000002E-2</v>
          </cell>
          <cell r="J22">
            <v>2.3900000000000001E-2</v>
          </cell>
          <cell r="K22">
            <v>2.3300000000000001E-2</v>
          </cell>
        </row>
        <row r="23">
          <cell r="A23">
            <v>20</v>
          </cell>
          <cell r="B23">
            <v>2.2800000000000001E-2</v>
          </cell>
          <cell r="C23">
            <v>2.2200000000000001E-2</v>
          </cell>
          <cell r="D23">
            <v>2.1700000000000001E-2</v>
          </cell>
          <cell r="E23">
            <v>2.12E-2</v>
          </cell>
          <cell r="F23">
            <v>2.07E-2</v>
          </cell>
          <cell r="G23">
            <v>2.0199999999999999E-2</v>
          </cell>
          <cell r="H23">
            <v>1.9699999999999999E-2</v>
          </cell>
          <cell r="I23">
            <v>1.9199999999999998E-2</v>
          </cell>
          <cell r="J23">
            <v>1.8800000000000001E-2</v>
          </cell>
          <cell r="K23">
            <v>1.83E-2</v>
          </cell>
        </row>
        <row r="24">
          <cell r="A24">
            <v>21</v>
          </cell>
          <cell r="B24">
            <v>1.7899999999999999E-2</v>
          </cell>
          <cell r="C24">
            <v>1.7399999999999999E-2</v>
          </cell>
          <cell r="D24">
            <v>1.7000000000000001E-2</v>
          </cell>
          <cell r="E24">
            <v>1.66E-2</v>
          </cell>
          <cell r="F24">
            <v>1.6199999999999999E-2</v>
          </cell>
          <cell r="G24">
            <v>1.5800000000000002E-2</v>
          </cell>
          <cell r="H24">
            <v>1.54E-2</v>
          </cell>
          <cell r="I24">
            <v>1.4999999999999999E-2</v>
          </cell>
          <cell r="J24">
            <v>1.46E-2</v>
          </cell>
          <cell r="K24">
            <v>1.43E-2</v>
          </cell>
        </row>
        <row r="25">
          <cell r="A25">
            <v>22</v>
          </cell>
          <cell r="B25">
            <v>1.3899999999999999E-2</v>
          </cell>
          <cell r="C25">
            <v>1.3599999999999999E-2</v>
          </cell>
          <cell r="D25">
            <v>1.32E-2</v>
          </cell>
          <cell r="E25">
            <v>2.1899999999999999E-2</v>
          </cell>
          <cell r="F25">
            <v>1.2500000000000001E-2</v>
          </cell>
          <cell r="G25">
            <v>1.2200000000000001E-2</v>
          </cell>
          <cell r="H25">
            <v>1.1900000000000001E-2</v>
          </cell>
          <cell r="I25">
            <v>1.1599999999999999E-2</v>
          </cell>
          <cell r="J25">
            <v>1.1299999999999999E-2</v>
          </cell>
          <cell r="K25">
            <v>1.0999999999999999E-2</v>
          </cell>
        </row>
        <row r="26">
          <cell r="A26">
            <v>23</v>
          </cell>
          <cell r="B26">
            <v>1.0699999999999999E-2</v>
          </cell>
          <cell r="C26">
            <v>1.04E-2</v>
          </cell>
          <cell r="D26">
            <v>1.0200000000000001E-2</v>
          </cell>
          <cell r="E26">
            <v>9.9000000000000008E-3</v>
          </cell>
          <cell r="F26">
            <v>9.5999999999999992E-3</v>
          </cell>
          <cell r="G26">
            <v>9.4000000000000004E-3</v>
          </cell>
          <cell r="H26">
            <v>9.1000000000000004E-3</v>
          </cell>
          <cell r="I26">
            <v>8.8999999999999999E-3</v>
          </cell>
          <cell r="J26">
            <v>8.6999999999999994E-3</v>
          </cell>
          <cell r="K26">
            <v>8.3999999999999995E-3</v>
          </cell>
        </row>
        <row r="27">
          <cell r="A27">
            <v>24</v>
          </cell>
          <cell r="B27">
            <v>8.2000000000000007E-3</v>
          </cell>
          <cell r="C27">
            <v>8.0000000000000002E-3</v>
          </cell>
          <cell r="D27">
            <v>7.7999999999999996E-3</v>
          </cell>
          <cell r="E27">
            <v>7.4999999999999997E-3</v>
          </cell>
          <cell r="F27">
            <v>7.3000000000000001E-3</v>
          </cell>
          <cell r="G27">
            <v>7.1000000000000004E-3</v>
          </cell>
          <cell r="H27">
            <v>6.8999999999999999E-3</v>
          </cell>
          <cell r="I27">
            <v>6.7999999999999996E-3</v>
          </cell>
          <cell r="J27">
            <v>6.6E-3</v>
          </cell>
          <cell r="K27">
            <v>6.4000000000000003E-3</v>
          </cell>
        </row>
        <row r="28">
          <cell r="A28">
            <v>25</v>
          </cell>
          <cell r="B28">
            <v>6.1999999999999998E-3</v>
          </cell>
          <cell r="C28">
            <v>6.0000000000000001E-3</v>
          </cell>
          <cell r="D28">
            <v>5.8999999999999999E-3</v>
          </cell>
          <cell r="E28">
            <v>5.7000000000000002E-3</v>
          </cell>
          <cell r="F28">
            <v>5.4999999999999997E-3</v>
          </cell>
          <cell r="G28">
            <v>5.4000000000000003E-3</v>
          </cell>
          <cell r="H28">
            <v>5.1999999999999998E-3</v>
          </cell>
          <cell r="I28">
            <v>5.1000000000000004E-3</v>
          </cell>
          <cell r="J28">
            <v>4.8999999999999998E-3</v>
          </cell>
          <cell r="K28">
            <v>4.7999999999999996E-3</v>
          </cell>
        </row>
        <row r="29">
          <cell r="A29">
            <v>26</v>
          </cell>
          <cell r="B29">
            <v>4.7000000000000002E-3</v>
          </cell>
          <cell r="C29">
            <v>4.4999999999999997E-3</v>
          </cell>
          <cell r="D29">
            <v>4.4000000000000003E-3</v>
          </cell>
          <cell r="E29">
            <v>4.3E-3</v>
          </cell>
          <cell r="F29">
            <v>4.1000000000000003E-3</v>
          </cell>
          <cell r="G29">
            <v>4.0000000000000001E-3</v>
          </cell>
          <cell r="H29">
            <v>3.8999999999999998E-3</v>
          </cell>
          <cell r="I29">
            <v>3.8E-3</v>
          </cell>
          <cell r="J29">
            <v>3.7000000000000002E-3</v>
          </cell>
          <cell r="K29">
            <v>3.5999999999999999E-3</v>
          </cell>
        </row>
        <row r="30">
          <cell r="A30">
            <v>27</v>
          </cell>
          <cell r="B30">
            <v>3.5000000000000001E-3</v>
          </cell>
          <cell r="C30">
            <v>3.3999999999999998E-3</v>
          </cell>
          <cell r="D30">
            <v>3.3E-3</v>
          </cell>
          <cell r="E30">
            <v>3.2000000000000002E-3</v>
          </cell>
          <cell r="F30">
            <v>3.0999999999999999E-3</v>
          </cell>
          <cell r="G30">
            <v>3.0000000000000001E-3</v>
          </cell>
          <cell r="H30">
            <v>2.8999999999999998E-3</v>
          </cell>
          <cell r="I30">
            <v>2.8E-3</v>
          </cell>
          <cell r="J30">
            <v>2.7000000000000001E-3</v>
          </cell>
          <cell r="K30">
            <v>2.5999999999999999E-3</v>
          </cell>
        </row>
        <row r="31">
          <cell r="A31">
            <v>28</v>
          </cell>
          <cell r="B31">
            <v>2.5999999999999999E-3</v>
          </cell>
          <cell r="C31">
            <v>2.5000000000000001E-3</v>
          </cell>
          <cell r="D31">
            <v>2.3999999999999998E-3</v>
          </cell>
          <cell r="E31">
            <v>2.3E-3</v>
          </cell>
          <cell r="F31">
            <v>2.3E-3</v>
          </cell>
          <cell r="G31">
            <v>2.2000000000000001E-3</v>
          </cell>
          <cell r="H31">
            <v>2.0999999999999999E-3</v>
          </cell>
          <cell r="I31">
            <v>2.0999999999999999E-3</v>
          </cell>
          <cell r="J31">
            <v>2E-3</v>
          </cell>
          <cell r="K31">
            <v>1.9E-3</v>
          </cell>
        </row>
        <row r="32">
          <cell r="A32">
            <v>29</v>
          </cell>
          <cell r="B32">
            <v>1.9E-3</v>
          </cell>
          <cell r="C32">
            <v>1.8E-3</v>
          </cell>
          <cell r="D32">
            <v>1.8E-3</v>
          </cell>
          <cell r="E32">
            <v>1.6999999999999999E-3</v>
          </cell>
          <cell r="F32">
            <v>1.6000000000000001E-3</v>
          </cell>
          <cell r="G32">
            <v>1.6000000000000001E-3</v>
          </cell>
          <cell r="H32">
            <v>1.5E-3</v>
          </cell>
          <cell r="I32">
            <v>1.5E-3</v>
          </cell>
          <cell r="J32">
            <v>1.4E-3</v>
          </cell>
          <cell r="K32">
            <v>1.4E-3</v>
          </cell>
        </row>
        <row r="33">
          <cell r="A33">
            <v>30</v>
          </cell>
          <cell r="B33">
            <v>1.2999999999999999E-3</v>
          </cell>
          <cell r="C33">
            <v>1.2999999999999999E-3</v>
          </cell>
          <cell r="D33">
            <v>1.2999999999999999E-3</v>
          </cell>
          <cell r="E33">
            <v>1.1999999999999999E-3</v>
          </cell>
          <cell r="F33">
            <v>1.1999999999999999E-3</v>
          </cell>
          <cell r="G33">
            <v>1.1000000000000001E-3</v>
          </cell>
          <cell r="H33">
            <v>1.1000000000000001E-3</v>
          </cell>
          <cell r="I33">
            <v>1.1000000000000001E-3</v>
          </cell>
          <cell r="J33">
            <v>1E-3</v>
          </cell>
          <cell r="K33">
            <v>1E-3</v>
          </cell>
        </row>
        <row r="34">
          <cell r="A34">
            <v>31</v>
          </cell>
          <cell r="B34">
            <v>1E-3</v>
          </cell>
          <cell r="C34">
            <v>8.9999999999999998E-4</v>
          </cell>
          <cell r="D34">
            <v>8.9999999999999998E-4</v>
          </cell>
          <cell r="E34">
            <v>8.9999999999999998E-4</v>
          </cell>
          <cell r="F34">
            <v>8.0000000000000004E-4</v>
          </cell>
          <cell r="G34">
            <v>8.0000000000000004E-4</v>
          </cell>
          <cell r="H34">
            <v>8.0000000000000004E-4</v>
          </cell>
          <cell r="I34">
            <v>8.0000000000000004E-4</v>
          </cell>
          <cell r="J34">
            <v>6.9999999999999999E-4</v>
          </cell>
          <cell r="K34">
            <v>6.9999999999999999E-4</v>
          </cell>
        </row>
        <row r="35">
          <cell r="A35">
            <v>32</v>
          </cell>
          <cell r="B35">
            <v>6.9999999999999999E-4</v>
          </cell>
          <cell r="C35">
            <v>6.9999999999999999E-4</v>
          </cell>
          <cell r="D35">
            <v>5.9999999999999995E-4</v>
          </cell>
          <cell r="E35">
            <v>5.9999999999999995E-4</v>
          </cell>
          <cell r="F35">
            <v>5.9999999999999995E-4</v>
          </cell>
          <cell r="G35">
            <v>5.9999999999999995E-4</v>
          </cell>
          <cell r="H35">
            <v>5.9999999999999995E-4</v>
          </cell>
          <cell r="I35">
            <v>5.0000000000000001E-4</v>
          </cell>
          <cell r="J35">
            <v>5.0000000000000001E-4</v>
          </cell>
          <cell r="K35">
            <v>5.0000000000000001E-4</v>
          </cell>
        </row>
        <row r="36">
          <cell r="A36">
            <v>33</v>
          </cell>
          <cell r="B36">
            <v>5.0000000000000001E-4</v>
          </cell>
          <cell r="C36">
            <v>5.0000000000000001E-4</v>
          </cell>
          <cell r="D36">
            <v>5.0000000000000001E-4</v>
          </cell>
          <cell r="E36">
            <v>4.0000000000000002E-4</v>
          </cell>
          <cell r="F36">
            <v>4.0000000000000002E-4</v>
          </cell>
          <cell r="G36">
            <v>4.0000000000000002E-4</v>
          </cell>
          <cell r="H36">
            <v>4.0000000000000002E-4</v>
          </cell>
          <cell r="I36">
            <v>4.0000000000000002E-4</v>
          </cell>
          <cell r="J36">
            <v>4.0000000000000002E-4</v>
          </cell>
          <cell r="K36">
            <v>2.9999999999999997E-4</v>
          </cell>
        </row>
        <row r="37">
          <cell r="A37">
            <v>34</v>
          </cell>
          <cell r="B37">
            <v>2.9999999999999997E-4</v>
          </cell>
          <cell r="C37">
            <v>2.9999999999999997E-4</v>
          </cell>
          <cell r="D37">
            <v>2.9999999999999997E-4</v>
          </cell>
          <cell r="E37">
            <v>2.9999999999999997E-4</v>
          </cell>
          <cell r="F37">
            <v>2.9999999999999997E-4</v>
          </cell>
          <cell r="G37">
            <v>2.9999999999999997E-4</v>
          </cell>
          <cell r="H37">
            <v>2.9999999999999997E-4</v>
          </cell>
          <cell r="I37">
            <v>2.9999999999999997E-4</v>
          </cell>
          <cell r="J37">
            <v>2.9999999999999997E-4</v>
          </cell>
          <cell r="K37">
            <v>2.9999999999999997E-4</v>
          </cell>
        </row>
        <row r="38">
          <cell r="A38">
            <v>35</v>
          </cell>
          <cell r="B38">
            <v>2.0000000000000001E-4</v>
          </cell>
          <cell r="C38">
            <v>2.0000000000000001E-4</v>
          </cell>
          <cell r="D38">
            <v>2.0000000000000001E-4</v>
          </cell>
          <cell r="E38">
            <v>2.0000000000000001E-4</v>
          </cell>
          <cell r="F38">
            <v>2.0000000000000001E-4</v>
          </cell>
          <cell r="G38">
            <v>2.0000000000000001E-4</v>
          </cell>
          <cell r="H38">
            <v>2.0000000000000001E-4</v>
          </cell>
          <cell r="I38">
            <v>2.0000000000000001E-4</v>
          </cell>
          <cell r="J38">
            <v>2.0000000000000001E-4</v>
          </cell>
          <cell r="K38">
            <v>2.0000000000000001E-4</v>
          </cell>
        </row>
        <row r="39">
          <cell r="A39">
            <v>36</v>
          </cell>
          <cell r="B39">
            <v>2.0000000000000001E-4</v>
          </cell>
          <cell r="C39">
            <v>2.0000000000000001E-4</v>
          </cell>
          <cell r="D39">
            <v>1E-4</v>
          </cell>
          <cell r="E39">
            <v>1E-4</v>
          </cell>
          <cell r="F39">
            <v>1E-4</v>
          </cell>
          <cell r="G39">
            <v>1E-4</v>
          </cell>
          <cell r="H39">
            <v>1E-4</v>
          </cell>
          <cell r="I39">
            <v>1E-4</v>
          </cell>
          <cell r="J39">
            <v>1E-4</v>
          </cell>
          <cell r="K39">
            <v>1E-4</v>
          </cell>
        </row>
        <row r="40">
          <cell r="A40">
            <v>37</v>
          </cell>
          <cell r="B40">
            <v>1E-4</v>
          </cell>
          <cell r="C40">
            <v>1E-4</v>
          </cell>
          <cell r="D40">
            <v>1E-4</v>
          </cell>
          <cell r="E40">
            <v>1E-4</v>
          </cell>
          <cell r="F40">
            <v>1E-4</v>
          </cell>
          <cell r="G40">
            <v>1E-4</v>
          </cell>
          <cell r="H40">
            <v>1E-4</v>
          </cell>
          <cell r="I40">
            <v>1E-4</v>
          </cell>
          <cell r="J40">
            <v>1E-4</v>
          </cell>
          <cell r="K40">
            <v>1E-4</v>
          </cell>
        </row>
        <row r="41">
          <cell r="A41">
            <v>38</v>
          </cell>
          <cell r="B41">
            <v>1E-4</v>
          </cell>
          <cell r="C41">
            <v>1E-4</v>
          </cell>
          <cell r="D41">
            <v>1E-4</v>
          </cell>
          <cell r="E41">
            <v>1E-4</v>
          </cell>
          <cell r="F41">
            <v>1E-4</v>
          </cell>
          <cell r="G41">
            <v>1E-4</v>
          </cell>
          <cell r="H41">
            <v>1E-4</v>
          </cell>
          <cell r="I41">
            <v>1E-4</v>
          </cell>
          <cell r="J41">
            <v>1E-4</v>
          </cell>
          <cell r="K41">
            <v>1E-4</v>
          </cell>
        </row>
        <row r="42">
          <cell r="A42">
            <v>39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</sheetData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부품식별색상"/>
      <sheetName val="3"/>
      <sheetName val="RD제품개발투자비(매가)"/>
      <sheetName val="KD율"/>
      <sheetName val="2.5T흐름"/>
      <sheetName val="TOTAL"/>
      <sheetName val="계실5-1"/>
      <sheetName val="CAUDIT"/>
      <sheetName val="EF투자비"/>
      <sheetName val="2차-PROTO-(1)"/>
      <sheetName val="A9AEDN01"/>
      <sheetName val="MC&amp;다변화"/>
      <sheetName val="A-A"/>
      <sheetName val="CALSHEET"/>
      <sheetName val="list"/>
      <sheetName val="I-1"/>
      <sheetName val="CF"/>
      <sheetName val="손익계산서"/>
      <sheetName val="major"/>
      <sheetName val="모델표준"/>
      <sheetName val="tarun - workin to achieve ram s"/>
      <sheetName val="1st half07 support study (3)"/>
      <sheetName val="Sheet4"/>
      <sheetName val="1st half07 support study (2)"/>
      <sheetName val="Sheet1"/>
      <sheetName val="Dec "/>
      <sheetName val="Nov"/>
      <sheetName val="Oct"/>
      <sheetName val="sep"/>
      <sheetName val="Aug"/>
      <sheetName val="Jul"/>
      <sheetName val="Jun"/>
      <sheetName val="May"/>
      <sheetName val="Apr"/>
      <sheetName val="Mar"/>
      <sheetName val="Feb"/>
      <sheetName val="Jan"/>
      <sheetName val="consolidated"/>
      <sheetName val="monthwise sale summary"/>
      <sheetName val="ramadhan support"/>
      <sheetName val="1st  Half tgt vs achvt"/>
      <sheetName val="2nd half sale tgt vs act"/>
      <sheetName val="Sheet2"/>
      <sheetName val="2nd Half ord tgt vs achvt"/>
      <sheetName val="order 1ST HALF"/>
      <sheetName val="1st half07 support study"/>
      <sheetName val="monthwise order rundown"/>
      <sheetName val="total support in 07"/>
      <sheetName val="buget working for accounts"/>
      <sheetName val="Order - Ann 1"/>
      <sheetName val="order - Ann2"/>
      <sheetName val="Sales - Ann3"/>
      <sheetName val="Sheet3"/>
      <sheetName val="A-100전제"/>
      <sheetName val="적용후문제"/>
      <sheetName val="1st"/>
      <sheetName val="주행"/>
      <sheetName val="HCCE01"/>
      <sheetName val="GRACE"/>
      <sheetName val="M1master"/>
      <sheetName val="2_5T흐름"/>
      <sheetName val="원본"/>
      <sheetName val="LCAUTO.4"/>
      <sheetName val="LCAT수.조"/>
      <sheetName val="#REF!"/>
      <sheetName val="2_5T흐름1"/>
      <sheetName val="tarun_-_workin_to_achieve_ram_s"/>
      <sheetName val="1st_half07_support_study_(3)"/>
      <sheetName val="1st_half07_support_study_(2)"/>
      <sheetName val="Dec_"/>
      <sheetName val="monthwise_sale_summary"/>
      <sheetName val="ramadhan_support"/>
      <sheetName val="1st__Half_tgt_vs_achvt"/>
      <sheetName val="2nd_half_sale_tgt_vs_act"/>
      <sheetName val="2nd_Half_ord_tgt_vs_achvt"/>
      <sheetName val="order_1ST_HALF"/>
      <sheetName val="1st_half07_support_study"/>
      <sheetName val="monthwise_order_rundown"/>
      <sheetName val="total_support_in_07"/>
      <sheetName val="buget_working_for_accounts"/>
      <sheetName val="Order_-_Ann_1"/>
      <sheetName val="order_-_Ann2"/>
      <sheetName val="Sales_-_Ann3"/>
      <sheetName val="대외공문"/>
      <sheetName val="시설투자"/>
      <sheetName val="p2-1"/>
      <sheetName val="MAIN"/>
      <sheetName val="ENG"/>
      <sheetName val="CONT"/>
      <sheetName val="KMCWD"/>
      <sheetName val="공통비"/>
      <sheetName val="LCAUTO_4"/>
      <sheetName val="LCAT수_조"/>
      <sheetName val="XD4DR"/>
      <sheetName val="31321-26000"/>
      <sheetName val="Input Sheet"/>
      <sheetName val="DBL LPG시험"/>
      <sheetName val="TCA"/>
      <sheetName val="검구사양서"/>
      <sheetName val="상용_mp"/>
      <sheetName val="기안"/>
      <sheetName val="직원신상"/>
      <sheetName val="CAMBAR"/>
      <sheetName val="BASE"/>
      <sheetName val="RES"/>
      <sheetName val="W-현원가"/>
      <sheetName val="표지"/>
      <sheetName val="계열사현황종합"/>
      <sheetName val="CASE ASM"/>
      <sheetName val="퇴충수정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장96E"/>
      <sheetName val="成品"/>
      <sheetName val="TOTAL"/>
      <sheetName val="HCCE01"/>
      <sheetName val="도움말"/>
      <sheetName val="상품입고집계"/>
      <sheetName val="유형자산LS"/>
      <sheetName val="4.6"/>
      <sheetName val="표준정규분포표"/>
      <sheetName val="Sheet3"/>
      <sheetName val=""/>
    </sheetNames>
    <definedNames>
      <definedName name="PRINT1"/>
      <definedName name="PRINT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무방향 "/>
      <sheetName val="경영기획Fab3 Equipment List"/>
      <sheetName val="경영기획 Fab4 Equipment List"/>
      <sheetName val="김동덕 자산 IF3"/>
      <sheetName val="김동덕 IF45"/>
      <sheetName val="현 김병조 F3 File "/>
      <sheetName val="현 김병조 F4 File"/>
      <sheetName val="System Matrix Summary"/>
      <sheetName val="2500-5000"/>
      <sheetName val="TOTAL"/>
      <sheetName val="020628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장비NO</v>
          </cell>
          <cell r="B1" t="str">
            <v>품 명</v>
          </cell>
          <cell r="C1" t="str">
            <v>MODEL</v>
          </cell>
          <cell r="D1" t="str">
            <v>Serial NO.</v>
          </cell>
          <cell r="E1" t="str">
            <v>장비NO</v>
          </cell>
        </row>
        <row r="2">
          <cell r="A2">
            <v>4890</v>
          </cell>
          <cell r="B2" t="str">
            <v xml:space="preserve">PC                                                </v>
          </cell>
          <cell r="C2" t="str">
            <v xml:space="preserve">PR3500000085                                      </v>
          </cell>
          <cell r="D2" t="str">
            <v xml:space="preserve">MA2NAC805031085   </v>
          </cell>
          <cell r="E2">
            <v>4890</v>
          </cell>
        </row>
        <row r="3">
          <cell r="A3" t="str">
            <v>1MS05</v>
          </cell>
          <cell r="B3" t="str">
            <v xml:space="preserve">MICROSCOPE(1MS05)                                 </v>
          </cell>
          <cell r="C3" t="str">
            <v xml:space="preserve">POLY VER                                          </v>
          </cell>
          <cell r="D3">
            <v>418586</v>
          </cell>
          <cell r="E3" t="str">
            <v>1MS05</v>
          </cell>
        </row>
        <row r="4">
          <cell r="A4" t="str">
            <v>4MS02</v>
          </cell>
          <cell r="B4" t="str">
            <v xml:space="preserve">MICROSCOPE(4MS02)                                 </v>
          </cell>
          <cell r="C4" t="str">
            <v xml:space="preserve">POLYLITE 88                                       </v>
          </cell>
          <cell r="D4">
            <v>413580</v>
          </cell>
          <cell r="E4" t="str">
            <v>4MS02</v>
          </cell>
        </row>
        <row r="5">
          <cell r="A5" t="str">
            <v>AI51</v>
          </cell>
          <cell r="B5" t="str">
            <v xml:space="preserve">ETCHER                                            </v>
          </cell>
          <cell r="C5" t="str">
            <v xml:space="preserve">P-5000                                            </v>
          </cell>
          <cell r="D5">
            <v>7287</v>
          </cell>
          <cell r="E5" t="str">
            <v>AI51</v>
          </cell>
        </row>
        <row r="6">
          <cell r="A6" t="str">
            <v>AI52</v>
          </cell>
          <cell r="B6" t="str">
            <v xml:space="preserve">ETCHER                                            </v>
          </cell>
          <cell r="C6" t="str">
            <v xml:space="preserve">P-5000                                            </v>
          </cell>
          <cell r="D6">
            <v>7286</v>
          </cell>
          <cell r="E6" t="str">
            <v>AI52</v>
          </cell>
        </row>
        <row r="7">
          <cell r="A7" t="str">
            <v>AO91</v>
          </cell>
          <cell r="B7" t="str">
            <v xml:space="preserve">ETCHER                                            </v>
          </cell>
          <cell r="C7">
            <v>5200</v>
          </cell>
          <cell r="D7">
            <v>9148</v>
          </cell>
          <cell r="E7" t="str">
            <v>AO91</v>
          </cell>
        </row>
        <row r="8">
          <cell r="A8" t="str">
            <v>AO93</v>
          </cell>
          <cell r="B8" t="str">
            <v xml:space="preserve">ETCHER                                            </v>
          </cell>
          <cell r="C8" t="str">
            <v xml:space="preserve">P5000 13E                                         </v>
          </cell>
          <cell r="D8" t="str">
            <v xml:space="preserve">                  </v>
          </cell>
          <cell r="E8" t="str">
            <v>AO93</v>
          </cell>
        </row>
        <row r="9">
          <cell r="A9" t="str">
            <v>AO94</v>
          </cell>
          <cell r="B9" t="str">
            <v xml:space="preserve">ETCHER                                            </v>
          </cell>
          <cell r="C9" t="str">
            <v xml:space="preserve">P5000 13E                                         </v>
          </cell>
          <cell r="D9" t="str">
            <v xml:space="preserve">                  </v>
          </cell>
          <cell r="E9" t="str">
            <v>AO94</v>
          </cell>
        </row>
        <row r="10">
          <cell r="A10" t="str">
            <v>AP51</v>
          </cell>
          <cell r="B10" t="str">
            <v xml:space="preserve">ETCHER                                            </v>
          </cell>
          <cell r="C10" t="str">
            <v xml:space="preserve">P-5000                                            </v>
          </cell>
          <cell r="D10">
            <v>7237</v>
          </cell>
          <cell r="E10" t="str">
            <v>AP51</v>
          </cell>
        </row>
        <row r="11">
          <cell r="A11" t="str">
            <v>AP53</v>
          </cell>
          <cell r="B11" t="str">
            <v xml:space="preserve">ETCHER                                            </v>
          </cell>
          <cell r="C11" t="str">
            <v xml:space="preserve">P-5000                                            </v>
          </cell>
          <cell r="D11">
            <v>7238</v>
          </cell>
          <cell r="E11" t="str">
            <v>AP53</v>
          </cell>
        </row>
        <row r="12">
          <cell r="A12" t="str">
            <v>AS11D</v>
          </cell>
          <cell r="B12" t="str">
            <v xml:space="preserve">WET SINK                                          </v>
          </cell>
          <cell r="C12" t="str">
            <v xml:space="preserve">SUGAI                                             </v>
          </cell>
          <cell r="D12" t="str">
            <v xml:space="preserve">SGI-0-1148-1      </v>
          </cell>
          <cell r="E12" t="str">
            <v>AS11D</v>
          </cell>
        </row>
        <row r="13">
          <cell r="A13" t="str">
            <v>AS11E</v>
          </cell>
          <cell r="B13" t="str">
            <v xml:space="preserve">WET SINK                                          </v>
          </cell>
          <cell r="C13" t="str">
            <v xml:space="preserve">MUSASHI                                           </v>
          </cell>
          <cell r="D13" t="str">
            <v xml:space="preserve">417975(B9300171   </v>
          </cell>
          <cell r="E13" t="str">
            <v>AS11E</v>
          </cell>
        </row>
        <row r="14">
          <cell r="A14" t="str">
            <v>AS12D</v>
          </cell>
          <cell r="B14" t="str">
            <v xml:space="preserve">WET SINK                                          </v>
          </cell>
          <cell r="C14" t="str">
            <v xml:space="preserve">SUGAI                                             </v>
          </cell>
          <cell r="D14" t="str">
            <v xml:space="preserve">SGI-0-1148-2      </v>
          </cell>
          <cell r="E14" t="str">
            <v>AS12D</v>
          </cell>
        </row>
        <row r="15">
          <cell r="A15" t="str">
            <v>AS12E</v>
          </cell>
          <cell r="B15" t="str">
            <v xml:space="preserve">WET SINK                                          </v>
          </cell>
          <cell r="C15" t="str">
            <v xml:space="preserve">MWA-4B-3350                                       </v>
          </cell>
          <cell r="D15" t="str">
            <v xml:space="preserve">W9107E003         </v>
          </cell>
          <cell r="E15" t="str">
            <v>AS12E</v>
          </cell>
        </row>
        <row r="16">
          <cell r="A16" t="str">
            <v>AS12T</v>
          </cell>
          <cell r="B16" t="str">
            <v xml:space="preserve">WET SINK                                          </v>
          </cell>
          <cell r="C16" t="str">
            <v xml:space="preserve">MUSASHI                                           </v>
          </cell>
          <cell r="D16" t="str">
            <v xml:space="preserve">BB9300183         </v>
          </cell>
          <cell r="E16" t="str">
            <v>AS12T</v>
          </cell>
        </row>
        <row r="17">
          <cell r="A17" t="str">
            <v>AS13D</v>
          </cell>
          <cell r="B17" t="str">
            <v xml:space="preserve">WET SINK                                          </v>
          </cell>
          <cell r="C17" t="str">
            <v xml:space="preserve">SUGAI                                             </v>
          </cell>
          <cell r="D17" t="str">
            <v xml:space="preserve">SGI-0-1147-3      </v>
          </cell>
          <cell r="E17" t="str">
            <v>AS13D</v>
          </cell>
        </row>
        <row r="18">
          <cell r="A18" t="str">
            <v>AS13E</v>
          </cell>
          <cell r="B18" t="str">
            <v xml:space="preserve">WET SINK                                          </v>
          </cell>
          <cell r="C18" t="str">
            <v xml:space="preserve">MWA-2B-2500                                       </v>
          </cell>
          <cell r="D18" t="str">
            <v xml:space="preserve">91092005H         </v>
          </cell>
          <cell r="E18" t="str">
            <v>AS13E</v>
          </cell>
        </row>
        <row r="19">
          <cell r="A19" t="str">
            <v>AS14D</v>
          </cell>
          <cell r="B19" t="str">
            <v xml:space="preserve">WET SINK                                          </v>
          </cell>
          <cell r="C19" t="str">
            <v xml:space="preserve">SUGAI                                             </v>
          </cell>
          <cell r="D19" t="str">
            <v xml:space="preserve">SGI-0-1147-4      </v>
          </cell>
          <cell r="E19" t="str">
            <v>AS14D</v>
          </cell>
        </row>
        <row r="20">
          <cell r="A20" t="str">
            <v>AS15D</v>
          </cell>
          <cell r="B20" t="str">
            <v xml:space="preserve">WET SINK                                          </v>
          </cell>
          <cell r="C20" t="str">
            <v xml:space="preserve">SUGAI                                             </v>
          </cell>
          <cell r="D20" t="str">
            <v xml:space="preserve">SGI-0-1147-5      </v>
          </cell>
          <cell r="E20" t="str">
            <v>AS15D</v>
          </cell>
        </row>
        <row r="21">
          <cell r="A21" t="str">
            <v>AS15E</v>
          </cell>
          <cell r="B21" t="str">
            <v xml:space="preserve">WET SINK                                          </v>
          </cell>
          <cell r="C21" t="str">
            <v xml:space="preserve">MWA-2B-2500                                       </v>
          </cell>
          <cell r="D21">
            <v>921208</v>
          </cell>
          <cell r="E21" t="str">
            <v>AS15E</v>
          </cell>
        </row>
        <row r="22">
          <cell r="A22" t="str">
            <v>AS21D</v>
          </cell>
          <cell r="B22" t="str">
            <v xml:space="preserve">WET SINK                                          </v>
          </cell>
          <cell r="C22" t="str">
            <v xml:space="preserve">SUGAI                                             </v>
          </cell>
          <cell r="D22" t="str">
            <v xml:space="preserve">SGI-0-1147-6      </v>
          </cell>
          <cell r="E22" t="str">
            <v>AS21D</v>
          </cell>
        </row>
        <row r="23">
          <cell r="A23" t="str">
            <v>AS21E</v>
          </cell>
          <cell r="B23" t="str">
            <v xml:space="preserve">WET SINK                                          </v>
          </cell>
          <cell r="C23" t="str">
            <v xml:space="preserve">MUSASHI(6000)                                     </v>
          </cell>
          <cell r="D23" t="str">
            <v xml:space="preserve">416927(B9300173   </v>
          </cell>
          <cell r="E23" t="str">
            <v>AS21E</v>
          </cell>
        </row>
        <row r="24">
          <cell r="A24" t="str">
            <v>AS22D</v>
          </cell>
          <cell r="B24" t="str">
            <v xml:space="preserve">WET SINK                                          </v>
          </cell>
          <cell r="C24" t="str">
            <v xml:space="preserve">SUGAI                                             </v>
          </cell>
          <cell r="D24" t="str">
            <v xml:space="preserve">SGI-0-1147-7      </v>
          </cell>
          <cell r="E24" t="str">
            <v>AS22D</v>
          </cell>
        </row>
        <row r="25">
          <cell r="A25" t="str">
            <v>AS22E</v>
          </cell>
          <cell r="B25" t="str">
            <v xml:space="preserve">WET SINK                                          </v>
          </cell>
          <cell r="C25" t="str">
            <v xml:space="preserve">MUSASHI(6000)                                     </v>
          </cell>
          <cell r="D25" t="str">
            <v xml:space="preserve">BB9300181         </v>
          </cell>
          <cell r="E25" t="str">
            <v>AS22E</v>
          </cell>
        </row>
        <row r="26">
          <cell r="A26" t="str">
            <v>AS23D</v>
          </cell>
          <cell r="B26" t="str">
            <v xml:space="preserve">WET SINK                                          </v>
          </cell>
          <cell r="C26" t="str">
            <v xml:space="preserve">SUGAI                                             </v>
          </cell>
          <cell r="D26" t="str">
            <v xml:space="preserve">SGI-0-1147-8      </v>
          </cell>
          <cell r="E26" t="str">
            <v>AS23D</v>
          </cell>
        </row>
        <row r="27">
          <cell r="A27" t="str">
            <v>AS23E</v>
          </cell>
          <cell r="B27" t="str">
            <v xml:space="preserve">WET SINK                                          </v>
          </cell>
          <cell r="C27" t="str">
            <v xml:space="preserve">MUSASHI                                           </v>
          </cell>
          <cell r="D27" t="str">
            <v xml:space="preserve">417974(B9300177   </v>
          </cell>
          <cell r="E27" t="str">
            <v>AS23E</v>
          </cell>
        </row>
        <row r="28">
          <cell r="A28" t="str">
            <v>AS24D</v>
          </cell>
          <cell r="B28" t="str">
            <v xml:space="preserve">WET SINK                                          </v>
          </cell>
          <cell r="C28" t="str">
            <v xml:space="preserve">SUGAI                                             </v>
          </cell>
          <cell r="D28" t="str">
            <v xml:space="preserve">SGI-0-1147-9      </v>
          </cell>
          <cell r="E28" t="str">
            <v>AS24D</v>
          </cell>
        </row>
        <row r="29">
          <cell r="A29" t="str">
            <v>AS25D</v>
          </cell>
          <cell r="B29" t="str">
            <v xml:space="preserve">WET SINK                                          </v>
          </cell>
          <cell r="C29" t="str">
            <v xml:space="preserve">SUGAI                                             </v>
          </cell>
          <cell r="D29" t="str">
            <v xml:space="preserve">SGI-0-1147-10     </v>
          </cell>
          <cell r="E29" t="str">
            <v>AS25D</v>
          </cell>
        </row>
        <row r="30">
          <cell r="A30" t="str">
            <v>AS26D</v>
          </cell>
          <cell r="B30" t="str">
            <v xml:space="preserve">WET SINK                                          </v>
          </cell>
          <cell r="C30" t="str">
            <v xml:space="preserve">SC-1                                              </v>
          </cell>
          <cell r="D30" t="str">
            <v xml:space="preserve">W9105H-001        </v>
          </cell>
          <cell r="E30" t="str">
            <v>AS26D</v>
          </cell>
        </row>
        <row r="31">
          <cell r="A31" t="str">
            <v>AS31E</v>
          </cell>
          <cell r="B31" t="str">
            <v xml:space="preserve">WET SINK                                          </v>
          </cell>
          <cell r="C31" t="str">
            <v xml:space="preserve">MUSASHI                                           </v>
          </cell>
          <cell r="D31" t="str">
            <v xml:space="preserve">417296(B9300175   </v>
          </cell>
          <cell r="E31" t="str">
            <v>AS31E</v>
          </cell>
        </row>
        <row r="32">
          <cell r="A32" t="str">
            <v>AS31T</v>
          </cell>
          <cell r="B32" t="str">
            <v xml:space="preserve">WET SINK                                          </v>
          </cell>
          <cell r="C32" t="str">
            <v xml:space="preserve">MUSASHI                                           </v>
          </cell>
          <cell r="D32" t="str">
            <v xml:space="preserve">BB9300185         </v>
          </cell>
          <cell r="E32" t="str">
            <v>AS31T</v>
          </cell>
        </row>
        <row r="33">
          <cell r="A33" t="str">
            <v>AS41T</v>
          </cell>
          <cell r="B33" t="str">
            <v xml:space="preserve">WET SINK                                          </v>
          </cell>
          <cell r="C33" t="str">
            <v xml:space="preserve">MUSASHI                                           </v>
          </cell>
          <cell r="D33" t="str">
            <v xml:space="preserve">BB9300187         </v>
          </cell>
          <cell r="E33" t="str">
            <v>AS41T</v>
          </cell>
        </row>
        <row r="34">
          <cell r="A34" t="str">
            <v>AS51E</v>
          </cell>
          <cell r="B34" t="str">
            <v xml:space="preserve">WET SINK                                          </v>
          </cell>
          <cell r="C34" t="str">
            <v xml:space="preserve">KAIJO                                             </v>
          </cell>
          <cell r="D34" t="str">
            <v xml:space="preserve">N783              </v>
          </cell>
          <cell r="E34" t="str">
            <v>AS51E</v>
          </cell>
        </row>
        <row r="35">
          <cell r="A35" t="str">
            <v>AS61E</v>
          </cell>
          <cell r="B35" t="str">
            <v xml:space="preserve">WET SINK                                          </v>
          </cell>
          <cell r="C35" t="str">
            <v xml:space="preserve">MUSASHI                                           </v>
          </cell>
          <cell r="D35" t="str">
            <v xml:space="preserve">BB9300179         </v>
          </cell>
          <cell r="E35" t="str">
            <v>AS61E</v>
          </cell>
        </row>
        <row r="36">
          <cell r="A36" t="str">
            <v>AS81E</v>
          </cell>
          <cell r="B36" t="str">
            <v xml:space="preserve">WET SINK                                          </v>
          </cell>
          <cell r="C36" t="str">
            <v xml:space="preserve">HY-AWS-GOO                                        </v>
          </cell>
          <cell r="D36" t="str">
            <v xml:space="preserve">690211-001        </v>
          </cell>
          <cell r="E36" t="str">
            <v>AS81E</v>
          </cell>
        </row>
        <row r="37">
          <cell r="A37" t="str">
            <v>AS91D(F/O)</v>
          </cell>
          <cell r="B37" t="str">
            <v xml:space="preserve">WET STATION(유휴)_F2                              </v>
          </cell>
          <cell r="C37" t="str">
            <v xml:space="preserve">PROCESS GROUP7                                    </v>
          </cell>
          <cell r="D37" t="str">
            <v xml:space="preserve">                  </v>
          </cell>
          <cell r="E37" t="str">
            <v>AS91D(F/O)</v>
          </cell>
        </row>
        <row r="38">
          <cell r="A38" t="str">
            <v>AS91T(2001.04</v>
          </cell>
          <cell r="B38" t="str">
            <v xml:space="preserve">WET STATION                                       </v>
          </cell>
          <cell r="C38" t="str">
            <v xml:space="preserve">PROCESS GROUP2                                    </v>
          </cell>
          <cell r="D38" t="str">
            <v xml:space="preserve">                  </v>
          </cell>
          <cell r="E38" t="str">
            <v>AS91T(2001.04</v>
          </cell>
          <cell r="F38" t="str">
            <v>유휴)</v>
          </cell>
        </row>
        <row r="39">
          <cell r="A39" t="str">
            <v>AS93D</v>
          </cell>
          <cell r="B39" t="str">
            <v xml:space="preserve">WET STATION                                       </v>
          </cell>
          <cell r="C39" t="str">
            <v xml:space="preserve">PROCESS GROUP9                                    </v>
          </cell>
          <cell r="D39" t="str">
            <v xml:space="preserve">                  </v>
          </cell>
          <cell r="E39" t="str">
            <v>AS93D</v>
          </cell>
        </row>
        <row r="40">
          <cell r="A40" t="str">
            <v>AS93T(2001.04</v>
          </cell>
          <cell r="B40" t="str">
            <v xml:space="preserve">WETSINK CMP(AS93T)유휴_F2                         </v>
          </cell>
          <cell r="C40" t="str">
            <v xml:space="preserve">COMMON                                            </v>
          </cell>
          <cell r="D40" t="str">
            <v xml:space="preserve">P-97-E-17-1-001   </v>
          </cell>
          <cell r="E40" t="str">
            <v>AS93T(2001.04</v>
          </cell>
          <cell r="F40" t="str">
            <v>유휴)</v>
          </cell>
        </row>
        <row r="41">
          <cell r="A41" t="str">
            <v>AS94D</v>
          </cell>
          <cell r="B41" t="str">
            <v xml:space="preserve">WET STATION(AS94D)                                </v>
          </cell>
          <cell r="C41" t="str">
            <v xml:space="preserve">5795*3600*2900                                    </v>
          </cell>
          <cell r="D41" t="str">
            <v xml:space="preserve">U530100           </v>
          </cell>
          <cell r="E41" t="str">
            <v>AS94D</v>
          </cell>
        </row>
        <row r="42">
          <cell r="A42" t="str">
            <v>AS96D</v>
          </cell>
          <cell r="B42" t="str">
            <v xml:space="preserve">WET SINK                                          </v>
          </cell>
          <cell r="C42" t="str">
            <v xml:space="preserve">PRE-DIFFUSION                                     </v>
          </cell>
          <cell r="D42" t="str">
            <v xml:space="preserve">0-1929            </v>
          </cell>
          <cell r="E42" t="str">
            <v>AS96D</v>
          </cell>
        </row>
        <row r="43">
          <cell r="A43" t="str">
            <v>BP11</v>
          </cell>
          <cell r="B43" t="str">
            <v xml:space="preserve">CVD                                               </v>
          </cell>
          <cell r="C43" t="str">
            <v xml:space="preserve">WJ-999                                            </v>
          </cell>
          <cell r="D43">
            <v>4056</v>
          </cell>
          <cell r="E43" t="str">
            <v>BP11</v>
          </cell>
        </row>
        <row r="44">
          <cell r="A44" t="str">
            <v>BP12</v>
          </cell>
          <cell r="B44" t="str">
            <v xml:space="preserve">CVD                                               </v>
          </cell>
          <cell r="C44" t="str">
            <v xml:space="preserve">WJ-999                                            </v>
          </cell>
          <cell r="D44">
            <v>4135</v>
          </cell>
          <cell r="E44" t="str">
            <v>BP12</v>
          </cell>
        </row>
        <row r="45">
          <cell r="A45" t="str">
            <v>BP13</v>
          </cell>
          <cell r="B45" t="str">
            <v xml:space="preserve">CVD                                               </v>
          </cell>
          <cell r="C45" t="str">
            <v xml:space="preserve">WJ999R                                            </v>
          </cell>
          <cell r="D45">
            <v>4766</v>
          </cell>
          <cell r="E45" t="str">
            <v>BP13</v>
          </cell>
        </row>
        <row r="46">
          <cell r="A46" t="str">
            <v>BP15</v>
          </cell>
          <cell r="B46" t="str">
            <v xml:space="preserve">CVD                                               </v>
          </cell>
          <cell r="C46" t="str">
            <v xml:space="preserve">CONCEPT ONE                                       </v>
          </cell>
          <cell r="D46">
            <v>705</v>
          </cell>
          <cell r="E46" t="str">
            <v>BP15</v>
          </cell>
        </row>
        <row r="47">
          <cell r="A47" t="str">
            <v>BP91</v>
          </cell>
          <cell r="B47" t="str">
            <v xml:space="preserve">CVD                                               </v>
          </cell>
          <cell r="C47" t="str">
            <v xml:space="preserve">COMMON                                            </v>
          </cell>
          <cell r="D47" t="str">
            <v xml:space="preserve">                  </v>
          </cell>
          <cell r="E47" t="str">
            <v>BP91</v>
          </cell>
        </row>
        <row r="48">
          <cell r="A48" t="str">
            <v>BP91E</v>
          </cell>
          <cell r="B48" t="str">
            <v xml:space="preserve">PROBE STATION(BP91E)(2001.08유휴)_F2              </v>
          </cell>
          <cell r="C48" t="str">
            <v xml:space="preserve">6200-MZ6-VO                                       </v>
          </cell>
          <cell r="D48">
            <v>908049</v>
          </cell>
          <cell r="E48" t="str">
            <v>BP91E</v>
          </cell>
        </row>
        <row r="49">
          <cell r="A49" t="str">
            <v>BP92(2001.04</v>
          </cell>
          <cell r="B49" t="str">
            <v xml:space="preserve">CVD                                               </v>
          </cell>
          <cell r="C49" t="str">
            <v xml:space="preserve">APT-4800                                          </v>
          </cell>
          <cell r="D49">
            <v>48081</v>
          </cell>
          <cell r="E49" t="str">
            <v>BP92(2001.04</v>
          </cell>
          <cell r="F49" t="str">
            <v>유휴)</v>
          </cell>
        </row>
        <row r="50">
          <cell r="A50" t="str">
            <v>CB71</v>
          </cell>
          <cell r="B50" t="str">
            <v xml:space="preserve">TRACK                                             </v>
          </cell>
          <cell r="C50" t="str">
            <v xml:space="preserve">TR6132UD                                          </v>
          </cell>
          <cell r="D50" t="str">
            <v xml:space="preserve">SP92C384          </v>
          </cell>
          <cell r="E50" t="str">
            <v>CB71</v>
          </cell>
        </row>
        <row r="51">
          <cell r="A51" t="str">
            <v>CB72</v>
          </cell>
          <cell r="B51" t="str">
            <v xml:space="preserve">TRACK                                             </v>
          </cell>
          <cell r="C51" t="str">
            <v xml:space="preserve">TR6133UD                                          </v>
          </cell>
          <cell r="D51" t="str">
            <v xml:space="preserve">TR6133UD          </v>
          </cell>
          <cell r="E51" t="str">
            <v>CB72</v>
          </cell>
        </row>
        <row r="52">
          <cell r="A52" t="str">
            <v>CD21</v>
          </cell>
          <cell r="B52" t="str">
            <v xml:space="preserve">CD- SEM                                           </v>
          </cell>
          <cell r="C52" t="str">
            <v xml:space="preserve">S6200H                                            </v>
          </cell>
          <cell r="D52">
            <v>1981474</v>
          </cell>
          <cell r="E52" t="str">
            <v>CD21</v>
          </cell>
        </row>
        <row r="53">
          <cell r="A53" t="str">
            <v>CD31</v>
          </cell>
          <cell r="B53" t="str">
            <v xml:space="preserve">CD- SEM                                           </v>
          </cell>
          <cell r="C53" t="str">
            <v xml:space="preserve">S-6700                                            </v>
          </cell>
          <cell r="D53" t="str">
            <v xml:space="preserve">11470632(770802   </v>
          </cell>
          <cell r="E53" t="str">
            <v>CD31</v>
          </cell>
        </row>
        <row r="54">
          <cell r="A54" t="str">
            <v>CD62</v>
          </cell>
          <cell r="B54" t="str">
            <v xml:space="preserve">CD SEM(CD62)10%                                   </v>
          </cell>
          <cell r="C54" t="str">
            <v xml:space="preserve">L9A950344                                         </v>
          </cell>
          <cell r="D54" t="str">
            <v xml:space="preserve">                  </v>
          </cell>
          <cell r="E54" t="str">
            <v>CD62</v>
          </cell>
        </row>
        <row r="55">
          <cell r="A55" t="str">
            <v>CD81</v>
          </cell>
          <cell r="B55" t="str">
            <v xml:space="preserve">CD- SEM                                           </v>
          </cell>
          <cell r="C55" t="str">
            <v xml:space="preserve">S-6600                                            </v>
          </cell>
          <cell r="D55">
            <v>36590</v>
          </cell>
          <cell r="E55" t="str">
            <v>CD81</v>
          </cell>
        </row>
        <row r="56">
          <cell r="A56" t="str">
            <v>CD92</v>
          </cell>
          <cell r="B56" t="str">
            <v xml:space="preserve">CD- SEM(CD92)(2001.08유휴)_F2                     </v>
          </cell>
          <cell r="C56" t="str">
            <v xml:space="preserve">S-6700                                            </v>
          </cell>
          <cell r="D56">
            <v>1682764</v>
          </cell>
          <cell r="E56" t="str">
            <v>CD92</v>
          </cell>
        </row>
        <row r="57">
          <cell r="A57" t="str">
            <v>CS52(F2)</v>
          </cell>
          <cell r="B57" t="str">
            <v xml:space="preserve">STEPPER(CS52)                                     </v>
          </cell>
          <cell r="C57" t="str">
            <v xml:space="preserve">FPA-1500M                                         </v>
          </cell>
          <cell r="D57" t="str">
            <v xml:space="preserve">907302M3          </v>
          </cell>
          <cell r="E57" t="str">
            <v>CS52(F2)</v>
          </cell>
        </row>
        <row r="58">
          <cell r="A58" t="str">
            <v>DC41</v>
          </cell>
          <cell r="B58" t="str">
            <v xml:space="preserve">TRACK                                             </v>
          </cell>
          <cell r="C58" t="str">
            <v xml:space="preserve">SCW-629 BV                                        </v>
          </cell>
          <cell r="D58" t="str">
            <v xml:space="preserve">89700-8266        </v>
          </cell>
          <cell r="E58" t="str">
            <v>DC41</v>
          </cell>
        </row>
        <row r="59">
          <cell r="A59" t="str">
            <v>DC42</v>
          </cell>
          <cell r="B59" t="str">
            <v xml:space="preserve">TRACK                                             </v>
          </cell>
          <cell r="C59" t="str">
            <v xml:space="preserve">SCW-629 BV                                        </v>
          </cell>
          <cell r="D59" t="str">
            <v xml:space="preserve">89700-8267        </v>
          </cell>
          <cell r="E59" t="str">
            <v>DC42</v>
          </cell>
        </row>
        <row r="60">
          <cell r="A60" t="str">
            <v>DC51</v>
          </cell>
          <cell r="B60" t="str">
            <v xml:space="preserve">TRACK                                             </v>
          </cell>
          <cell r="C60" t="str">
            <v xml:space="preserve">SCW-629 BV                                        </v>
          </cell>
          <cell r="D60" t="str">
            <v xml:space="preserve">89700-8269        </v>
          </cell>
          <cell r="E60" t="str">
            <v>DC51</v>
          </cell>
        </row>
        <row r="61">
          <cell r="A61" t="str">
            <v>DD42</v>
          </cell>
          <cell r="B61" t="str">
            <v xml:space="preserve">TRACK                                             </v>
          </cell>
          <cell r="C61" t="str">
            <v xml:space="preserve">SDW-629 BV                                        </v>
          </cell>
          <cell r="D61" t="str">
            <v xml:space="preserve">89700-8272        </v>
          </cell>
          <cell r="E61" t="str">
            <v>DD42</v>
          </cell>
        </row>
        <row r="62">
          <cell r="A62" t="str">
            <v>DD52</v>
          </cell>
          <cell r="B62" t="str">
            <v xml:space="preserve">TRACK                                             </v>
          </cell>
          <cell r="C62" t="str">
            <v xml:space="preserve">SDW-629 BV                                        </v>
          </cell>
          <cell r="D62" t="str">
            <v xml:space="preserve">89700-8273        </v>
          </cell>
          <cell r="E62" t="str">
            <v>DD52</v>
          </cell>
        </row>
        <row r="63">
          <cell r="A63" t="str">
            <v>DD71</v>
          </cell>
          <cell r="B63" t="str">
            <v xml:space="preserve">TRACK                                             </v>
          </cell>
          <cell r="C63" t="str">
            <v xml:space="preserve">SDW-636 BV                                        </v>
          </cell>
          <cell r="D63" t="str">
            <v xml:space="preserve">89700-1443        </v>
          </cell>
          <cell r="E63" t="str">
            <v>DD71</v>
          </cell>
        </row>
        <row r="64">
          <cell r="A64" t="str">
            <v>DR11D</v>
          </cell>
          <cell r="B64" t="str">
            <v xml:space="preserve">SPIN DRYER(DR11D)                                 </v>
          </cell>
          <cell r="C64" t="str">
            <v xml:space="preserve">870S                                              </v>
          </cell>
          <cell r="D64" t="str">
            <v xml:space="preserve">C41035-1          </v>
          </cell>
          <cell r="E64" t="str">
            <v>DR11D</v>
          </cell>
        </row>
        <row r="65">
          <cell r="A65" t="str">
            <v>DR12D</v>
          </cell>
          <cell r="B65" t="str">
            <v xml:space="preserve">SPIN DRYER(DR12D)                                 </v>
          </cell>
          <cell r="C65" t="str">
            <v xml:space="preserve">870S                                              </v>
          </cell>
          <cell r="D65" t="str">
            <v xml:space="preserve">C41035-2          </v>
          </cell>
          <cell r="E65" t="str">
            <v>DR12D</v>
          </cell>
        </row>
        <row r="66">
          <cell r="A66" t="str">
            <v>DR54/55E</v>
          </cell>
          <cell r="B66" t="str">
            <v xml:space="preserve">SPIN DRY(DR54/55E)                                </v>
          </cell>
          <cell r="C66" t="str">
            <v xml:space="preserve">870S                                              </v>
          </cell>
          <cell r="D66">
            <v>5534</v>
          </cell>
          <cell r="E66" t="str">
            <v>DR54/55E</v>
          </cell>
        </row>
        <row r="67">
          <cell r="A67" t="str">
            <v>DR56,57E</v>
          </cell>
          <cell r="B67" t="str">
            <v xml:space="preserve">SPIN DRYER                                        </v>
          </cell>
          <cell r="C67" t="str">
            <v xml:space="preserve">870 S                                             </v>
          </cell>
          <cell r="D67" t="str">
            <v xml:space="preserve">49681-7,8       </v>
          </cell>
          <cell r="E67" t="str">
            <v>DR56,57E</v>
          </cell>
        </row>
        <row r="68">
          <cell r="A68" t="str">
            <v>EL11D</v>
          </cell>
          <cell r="B68" t="str">
            <v xml:space="preserve">ELLIPSOMETER                                      </v>
          </cell>
          <cell r="C68" t="str">
            <v xml:space="preserve">AUTO EL-3                                         </v>
          </cell>
          <cell r="D68">
            <v>8006</v>
          </cell>
          <cell r="E68" t="str">
            <v>EL11D</v>
          </cell>
        </row>
        <row r="69">
          <cell r="A69" t="str">
            <v>EL12D</v>
          </cell>
          <cell r="B69" t="str">
            <v xml:space="preserve">ELLIPSOMETER                                      </v>
          </cell>
          <cell r="C69" t="str">
            <v xml:space="preserve">AUTO EL-3                                         </v>
          </cell>
          <cell r="D69">
            <v>7999</v>
          </cell>
          <cell r="E69" t="str">
            <v>EL12D</v>
          </cell>
        </row>
        <row r="70">
          <cell r="A70" t="str">
            <v>EL13D</v>
          </cell>
          <cell r="B70" t="str">
            <v xml:space="preserve">ELLIPSOMETER                                      </v>
          </cell>
          <cell r="C70" t="str">
            <v xml:space="preserve">AUTO EL-3                                         </v>
          </cell>
          <cell r="D70">
            <v>8004</v>
          </cell>
          <cell r="E70" t="str">
            <v>EL13D</v>
          </cell>
        </row>
        <row r="71">
          <cell r="A71" t="str">
            <v>EL32E(F/O</v>
          </cell>
          <cell r="B71" t="str">
            <v xml:space="preserve">ELLIPSOMETER(유휴)_F2                             </v>
          </cell>
          <cell r="C71" t="str">
            <v xml:space="preserve">AUTO EL-3                                         </v>
          </cell>
          <cell r="D71">
            <v>7996</v>
          </cell>
          <cell r="E71" t="str">
            <v>EL32E(F/O</v>
          </cell>
          <cell r="F71" t="str">
            <v>F2정비실)</v>
          </cell>
        </row>
        <row r="72">
          <cell r="A72" t="str">
            <v>EL91D</v>
          </cell>
          <cell r="B72" t="str">
            <v xml:space="preserve">ELLIPSOMETER                                      </v>
          </cell>
          <cell r="C72" t="str">
            <v xml:space="preserve">AUTO3L III                                        </v>
          </cell>
          <cell r="D72">
            <v>70220</v>
          </cell>
          <cell r="E72" t="str">
            <v>EL91D</v>
          </cell>
        </row>
        <row r="73">
          <cell r="A73" t="str">
            <v>EL91T</v>
          </cell>
          <cell r="B73" t="str">
            <v xml:space="preserve">ELLIPSOMETER                                      </v>
          </cell>
          <cell r="C73" t="str">
            <v xml:space="preserve">AUTO EL-3                                         </v>
          </cell>
          <cell r="D73">
            <v>8000</v>
          </cell>
          <cell r="E73" t="str">
            <v>EL91T</v>
          </cell>
        </row>
        <row r="74">
          <cell r="A74" t="str">
            <v>ESG301</v>
          </cell>
          <cell r="B74" t="str">
            <v xml:space="preserve">P/R STRIPPER                                      </v>
          </cell>
          <cell r="C74" t="str">
            <v xml:space="preserve">L3500                                             </v>
          </cell>
          <cell r="D74">
            <v>95036</v>
          </cell>
          <cell r="E74" t="str">
            <v>ESG301</v>
          </cell>
        </row>
        <row r="75">
          <cell r="A75" t="str">
            <v>EX41</v>
          </cell>
          <cell r="B75" t="str">
            <v xml:space="preserve">EXPOSURE SYSTEM(EX41)90%/229                      </v>
          </cell>
          <cell r="C75" t="str">
            <v xml:space="preserve">SE-571H                                           </v>
          </cell>
          <cell r="D75">
            <v>9709001</v>
          </cell>
          <cell r="E75" t="str">
            <v>EX41</v>
          </cell>
        </row>
        <row r="76">
          <cell r="A76" t="str">
            <v>EX51(2001.04</v>
          </cell>
          <cell r="B76" t="str">
            <v xml:space="preserve">EXPOSURE SYSTEM(EX51)                             </v>
          </cell>
          <cell r="C76" t="str">
            <v xml:space="preserve">COMMON                                            </v>
          </cell>
          <cell r="D76" t="str">
            <v xml:space="preserve">                  </v>
          </cell>
          <cell r="E76" t="str">
            <v>EX51(2001.04</v>
          </cell>
          <cell r="F76" t="str">
            <v>유휴)</v>
          </cell>
        </row>
        <row r="77">
          <cell r="A77" t="str">
            <v>EX52</v>
          </cell>
          <cell r="B77" t="str">
            <v xml:space="preserve">EXPOSURE SYSTEM(EX52)                             </v>
          </cell>
          <cell r="C77" t="str">
            <v xml:space="preserve">PE-250T2                                          </v>
          </cell>
          <cell r="D77" t="str">
            <v xml:space="preserve">92Y001            </v>
          </cell>
          <cell r="E77" t="str">
            <v>EX52</v>
          </cell>
        </row>
        <row r="78">
          <cell r="A78" t="str">
            <v>EX71</v>
          </cell>
          <cell r="B78" t="str">
            <v xml:space="preserve">노광기(EX71) F/O                                  </v>
          </cell>
          <cell r="C78" t="str">
            <v xml:space="preserve">PE-250T2                                          </v>
          </cell>
          <cell r="D78" t="str">
            <v xml:space="preserve">                  </v>
          </cell>
          <cell r="E78" t="str">
            <v>EX71</v>
          </cell>
        </row>
        <row r="79">
          <cell r="A79" t="str">
            <v>F/O</v>
          </cell>
          <cell r="B79" t="str">
            <v xml:space="preserve">W/F SORTER(100%)유휴_F2                           </v>
          </cell>
          <cell r="C79" t="str">
            <v xml:space="preserve">300/6                                             </v>
          </cell>
          <cell r="D79">
            <v>595045</v>
          </cell>
          <cell r="E79" t="str">
            <v>F/O</v>
          </cell>
        </row>
        <row r="80">
          <cell r="A80" t="str">
            <v>F/O</v>
          </cell>
          <cell r="B80" t="str">
            <v xml:space="preserve">W/F SORTER(100%)유휴_F2                           </v>
          </cell>
          <cell r="C80" t="str">
            <v xml:space="preserve">300/6                                             </v>
          </cell>
          <cell r="D80">
            <v>595044</v>
          </cell>
          <cell r="E80" t="str">
            <v>F/O</v>
          </cell>
        </row>
        <row r="81">
          <cell r="A81" t="str">
            <v>F/O</v>
          </cell>
          <cell r="B81" t="str">
            <v xml:space="preserve">W/F SORTER(10%)유휴_F2                            </v>
          </cell>
          <cell r="C81" t="str">
            <v xml:space="preserve">300/6                                             </v>
          </cell>
          <cell r="D81">
            <v>295023</v>
          </cell>
          <cell r="E81" t="str">
            <v>F/O</v>
          </cell>
        </row>
        <row r="82">
          <cell r="A82" t="str">
            <v>F/O</v>
          </cell>
          <cell r="B82" t="str">
            <v xml:space="preserve">W/F SORTER(10%)유휴_F2                            </v>
          </cell>
          <cell r="C82" t="str">
            <v xml:space="preserve">300/6                                             </v>
          </cell>
          <cell r="D82">
            <v>295022</v>
          </cell>
          <cell r="E82" t="str">
            <v>F/O</v>
          </cell>
        </row>
        <row r="83">
          <cell r="A83" t="str">
            <v>F/O</v>
          </cell>
          <cell r="B83" t="str">
            <v xml:space="preserve">SMIF SYSTEM(DLM STOCKER)/192                      </v>
          </cell>
          <cell r="C83" t="str">
            <v xml:space="preserve">FAB-3 DLM LINE                                    </v>
          </cell>
          <cell r="D83" t="str">
            <v xml:space="preserve">                  </v>
          </cell>
          <cell r="E83" t="str">
            <v>F/O</v>
          </cell>
        </row>
        <row r="84">
          <cell r="A84" t="str">
            <v>F/O</v>
          </cell>
          <cell r="B84" t="str">
            <v xml:space="preserve">W/F SURFACE ANALYSIS (PMS)                        </v>
          </cell>
          <cell r="C84" t="str">
            <v xml:space="preserve">SAS 5800                                          </v>
          </cell>
          <cell r="D84" t="str">
            <v xml:space="preserve">25482-0692-07     </v>
          </cell>
          <cell r="E84" t="str">
            <v>F/O</v>
          </cell>
        </row>
        <row r="85">
          <cell r="A85" t="str">
            <v>F2</v>
          </cell>
          <cell r="B85" t="str">
            <v xml:space="preserve">CLEAN SINK                                        </v>
          </cell>
          <cell r="C85" t="str">
            <v xml:space="preserve">1350*600*1850                                     </v>
          </cell>
          <cell r="D85" t="str">
            <v xml:space="preserve">                  </v>
          </cell>
          <cell r="E85" t="str">
            <v>F2</v>
          </cell>
          <cell r="F85" t="str">
            <v>정비실</v>
          </cell>
        </row>
        <row r="86">
          <cell r="A86" t="str">
            <v>FS21</v>
          </cell>
          <cell r="B86" t="str">
            <v xml:space="preserve">P/R STRIPPER                                      </v>
          </cell>
          <cell r="C86" t="str">
            <v xml:space="preserve">MERCURT MP                                        </v>
          </cell>
          <cell r="D86" t="str">
            <v xml:space="preserve">0107-0390-0896    </v>
          </cell>
          <cell r="E86" t="str">
            <v>FS21</v>
          </cell>
        </row>
        <row r="87">
          <cell r="A87" t="str">
            <v>FT61P</v>
          </cell>
          <cell r="B87" t="str">
            <v xml:space="preserve">FILM THICKNESS MEASUREMENT                        </v>
          </cell>
          <cell r="C87" t="str">
            <v xml:space="preserve">FT-750                                            </v>
          </cell>
          <cell r="D87" t="str">
            <v xml:space="preserve">940591FT750       </v>
          </cell>
          <cell r="E87" t="str">
            <v>FT61P</v>
          </cell>
        </row>
        <row r="88">
          <cell r="A88" t="str">
            <v>HF011~014</v>
          </cell>
          <cell r="B88" t="str">
            <v xml:space="preserve">FURNACE                                           </v>
          </cell>
          <cell r="C88" t="str">
            <v xml:space="preserve">PYRO                                              </v>
          </cell>
          <cell r="D88" t="str">
            <v xml:space="preserve">DHEK-10           </v>
          </cell>
          <cell r="E88" t="str">
            <v>HF011~014</v>
          </cell>
        </row>
        <row r="89">
          <cell r="A89" t="str">
            <v>HF021~024</v>
          </cell>
          <cell r="B89" t="str">
            <v xml:space="preserve">FURNACE                                           </v>
          </cell>
          <cell r="C89" t="str">
            <v xml:space="preserve">PYRO                                              </v>
          </cell>
          <cell r="D89" t="str">
            <v xml:space="preserve">DHEK-11           </v>
          </cell>
          <cell r="E89" t="str">
            <v>HF021~024</v>
          </cell>
        </row>
        <row r="90">
          <cell r="A90" t="str">
            <v>HF031~034</v>
          </cell>
          <cell r="B90" t="str">
            <v xml:space="preserve">FURNACE                                           </v>
          </cell>
          <cell r="C90" t="str">
            <v xml:space="preserve">PYRO                                              </v>
          </cell>
          <cell r="D90" t="str">
            <v xml:space="preserve">DHEK-12           </v>
          </cell>
          <cell r="E90" t="str">
            <v>HF031~034</v>
          </cell>
        </row>
        <row r="91">
          <cell r="A91" t="str">
            <v>HF041~044</v>
          </cell>
          <cell r="B91" t="str">
            <v xml:space="preserve">FURNACE                                           </v>
          </cell>
          <cell r="C91" t="str">
            <v xml:space="preserve">PYRO                                              </v>
          </cell>
          <cell r="D91" t="str">
            <v xml:space="preserve">DHEK-13           </v>
          </cell>
          <cell r="E91" t="str">
            <v>HF041~044</v>
          </cell>
        </row>
        <row r="92">
          <cell r="A92" t="str">
            <v>HF051~054</v>
          </cell>
          <cell r="B92" t="str">
            <v xml:space="preserve">FURNACE                                           </v>
          </cell>
          <cell r="C92" t="str">
            <v xml:space="preserve">PYRO                                              </v>
          </cell>
          <cell r="D92" t="str">
            <v xml:space="preserve">DHEK-14           </v>
          </cell>
          <cell r="E92" t="str">
            <v>HF051~054</v>
          </cell>
        </row>
        <row r="93">
          <cell r="A93" t="str">
            <v>HF061~064</v>
          </cell>
          <cell r="B93" t="str">
            <v xml:space="preserve">FURNACE                                           </v>
          </cell>
          <cell r="C93" t="str">
            <v xml:space="preserve">PYRO                                              </v>
          </cell>
          <cell r="D93" t="str">
            <v xml:space="preserve">DHEK-15           </v>
          </cell>
          <cell r="E93" t="str">
            <v>HF061~064</v>
          </cell>
        </row>
        <row r="94">
          <cell r="A94" t="str">
            <v>HF071~074</v>
          </cell>
          <cell r="B94" t="str">
            <v xml:space="preserve">FURNACE                                           </v>
          </cell>
          <cell r="C94" t="str">
            <v xml:space="preserve">LPCVD                                             </v>
          </cell>
          <cell r="D94" t="str">
            <v xml:space="preserve">DHEK-16           </v>
          </cell>
          <cell r="E94" t="str">
            <v>HF071~074</v>
          </cell>
        </row>
        <row r="95">
          <cell r="A95" t="str">
            <v>HF081~084</v>
          </cell>
          <cell r="B95" t="str">
            <v xml:space="preserve">FURNACE                                           </v>
          </cell>
          <cell r="C95" t="str">
            <v xml:space="preserve">PYRO                                              </v>
          </cell>
          <cell r="D95" t="str">
            <v xml:space="preserve">DHEK-19           </v>
          </cell>
          <cell r="E95" t="str">
            <v>HF081~084</v>
          </cell>
        </row>
        <row r="96">
          <cell r="A96" t="str">
            <v>HF091~094</v>
          </cell>
          <cell r="B96" t="str">
            <v xml:space="preserve">FURNACE                                           </v>
          </cell>
          <cell r="C96" t="str">
            <v xml:space="preserve">PYRO                                              </v>
          </cell>
          <cell r="D96" t="str">
            <v xml:space="preserve">DHEK-20           </v>
          </cell>
          <cell r="E96" t="str">
            <v>HF091~094</v>
          </cell>
        </row>
        <row r="97">
          <cell r="A97" t="str">
            <v>HF101~104</v>
          </cell>
          <cell r="B97" t="str">
            <v xml:space="preserve">FURNACE                                           </v>
          </cell>
          <cell r="C97" t="str">
            <v xml:space="preserve">LPCVD TEOS                                        </v>
          </cell>
          <cell r="D97" t="str">
            <v xml:space="preserve">DHEK-17           </v>
          </cell>
          <cell r="E97" t="str">
            <v>HF101~104</v>
          </cell>
        </row>
        <row r="98">
          <cell r="A98" t="str">
            <v>HF111~114</v>
          </cell>
          <cell r="B98" t="str">
            <v xml:space="preserve">FURNACE                                           </v>
          </cell>
          <cell r="C98" t="str">
            <v xml:space="preserve">LPCVD TEOS                                        </v>
          </cell>
          <cell r="D98" t="str">
            <v xml:space="preserve">DHEK-18           </v>
          </cell>
          <cell r="E98" t="str">
            <v>HF111~114</v>
          </cell>
        </row>
        <row r="99">
          <cell r="A99" t="str">
            <v>HF121~124</v>
          </cell>
          <cell r="B99" t="str">
            <v xml:space="preserve">FURNACE                                           </v>
          </cell>
          <cell r="C99" t="str">
            <v xml:space="preserve">PYRO                                              </v>
          </cell>
          <cell r="D99" t="str">
            <v xml:space="preserve">DHEK-21           </v>
          </cell>
          <cell r="E99" t="str">
            <v>HF121~124</v>
          </cell>
        </row>
        <row r="100">
          <cell r="A100" t="str">
            <v>HF131~134</v>
          </cell>
          <cell r="B100" t="str">
            <v xml:space="preserve">FURNACE                                           </v>
          </cell>
          <cell r="C100" t="str">
            <v xml:space="preserve">PYRO                                              </v>
          </cell>
          <cell r="D100" t="str">
            <v xml:space="preserve">DHEK-22           </v>
          </cell>
          <cell r="E100" t="str">
            <v>HF131~134</v>
          </cell>
        </row>
        <row r="101">
          <cell r="A101" t="str">
            <v>HF141~144</v>
          </cell>
          <cell r="B101" t="str">
            <v xml:space="preserve">FURNACE                                           </v>
          </cell>
          <cell r="C101" t="str">
            <v xml:space="preserve">POCL 3                                            </v>
          </cell>
          <cell r="D101" t="str">
            <v xml:space="preserve">DHEK-23           </v>
          </cell>
          <cell r="E101" t="str">
            <v>HF141~144</v>
          </cell>
        </row>
        <row r="102">
          <cell r="A102" t="str">
            <v>HF151~154</v>
          </cell>
          <cell r="B102" t="str">
            <v xml:space="preserve">FURNACE                                           </v>
          </cell>
          <cell r="C102" t="str">
            <v xml:space="preserve">POCL3                                             </v>
          </cell>
          <cell r="D102" t="str">
            <v xml:space="preserve">DHEK-24           </v>
          </cell>
          <cell r="E102" t="str">
            <v>HF151~154</v>
          </cell>
        </row>
        <row r="103">
          <cell r="A103" t="str">
            <v>HF91(2001.04</v>
          </cell>
          <cell r="B103" t="str">
            <v xml:space="preserve">CVD EXCALIBUR(HF91)                               </v>
          </cell>
          <cell r="C103" t="str">
            <v xml:space="preserve">EXCALIBUR-200                                     </v>
          </cell>
          <cell r="D103" t="str">
            <v xml:space="preserve">                  </v>
          </cell>
          <cell r="E103" t="str">
            <v>HF91(2001.04</v>
          </cell>
          <cell r="F103" t="str">
            <v>유휴)</v>
          </cell>
        </row>
        <row r="104">
          <cell r="A104" t="str">
            <v>HF931-34</v>
          </cell>
          <cell r="B104" t="str">
            <v xml:space="preserve">FURNACE                                           </v>
          </cell>
          <cell r="C104" t="str">
            <v xml:space="preserve">MODEL 5104                                        </v>
          </cell>
          <cell r="D104" t="str">
            <v xml:space="preserve">SYSTEM#5          </v>
          </cell>
          <cell r="E104" t="str">
            <v>HF931-34</v>
          </cell>
        </row>
        <row r="105">
          <cell r="A105" t="str">
            <v>HF941-44</v>
          </cell>
          <cell r="B105" t="str">
            <v xml:space="preserve">FURNACE                                           </v>
          </cell>
          <cell r="C105" t="str">
            <v xml:space="preserve">MODEL 5104                                        </v>
          </cell>
          <cell r="D105" t="str">
            <v xml:space="preserve">SYSTEM#7          </v>
          </cell>
          <cell r="E105" t="str">
            <v>HF941-44</v>
          </cell>
        </row>
        <row r="106">
          <cell r="A106" t="str">
            <v>HF951-54</v>
          </cell>
          <cell r="B106" t="str">
            <v xml:space="preserve">FURNACE                                           </v>
          </cell>
          <cell r="C106" t="str">
            <v xml:space="preserve">MODEL 5104                                        </v>
          </cell>
          <cell r="D106" t="str">
            <v xml:space="preserve">SYSTEM#6          </v>
          </cell>
          <cell r="E106" t="str">
            <v>HF951-54</v>
          </cell>
        </row>
        <row r="107">
          <cell r="A107" t="str">
            <v>HF961-64</v>
          </cell>
          <cell r="B107" t="str">
            <v xml:space="preserve">FURNACE(HF961-64)                                 </v>
          </cell>
          <cell r="C107" t="str">
            <v xml:space="preserve">MODEL 5104                                        </v>
          </cell>
          <cell r="D107" t="str">
            <v xml:space="preserve">SYSTEM#4          </v>
          </cell>
          <cell r="E107" t="str">
            <v>HF961-64</v>
          </cell>
        </row>
        <row r="108">
          <cell r="A108" t="str">
            <v>HI31</v>
          </cell>
          <cell r="B108" t="str">
            <v xml:space="preserve">IMPLANTER                                         </v>
          </cell>
          <cell r="C108" t="str">
            <v xml:space="preserve">NV 10-80                                          </v>
          </cell>
          <cell r="D108">
            <v>238</v>
          </cell>
          <cell r="E108" t="str">
            <v>HI31</v>
          </cell>
        </row>
        <row r="109">
          <cell r="A109" t="str">
            <v>HI32</v>
          </cell>
          <cell r="B109" t="str">
            <v xml:space="preserve">IMPLANTER                                         </v>
          </cell>
          <cell r="C109" t="str">
            <v xml:space="preserve">NV 10-160                                         </v>
          </cell>
          <cell r="D109">
            <v>157</v>
          </cell>
          <cell r="E109" t="str">
            <v>HI32</v>
          </cell>
        </row>
        <row r="110">
          <cell r="A110" t="str">
            <v>HI41</v>
          </cell>
          <cell r="B110" t="str">
            <v xml:space="preserve">IMPLANTER                                         </v>
          </cell>
          <cell r="C110" t="str">
            <v xml:space="preserve">NV 10-80                                          </v>
          </cell>
          <cell r="D110">
            <v>236</v>
          </cell>
          <cell r="E110" t="str">
            <v>HI41</v>
          </cell>
        </row>
        <row r="111">
          <cell r="A111" t="str">
            <v>HI42</v>
          </cell>
          <cell r="B111" t="str">
            <v xml:space="preserve">IMPLANTER                                         </v>
          </cell>
          <cell r="C111" t="str">
            <v xml:space="preserve">NV 10-160                                         </v>
          </cell>
          <cell r="D111">
            <v>155</v>
          </cell>
          <cell r="E111" t="str">
            <v>HI42</v>
          </cell>
        </row>
        <row r="112">
          <cell r="A112" t="str">
            <v>HI43</v>
          </cell>
          <cell r="B112" t="str">
            <v xml:space="preserve">IMPLANTER(HI430(2001.08유휴)                      </v>
          </cell>
          <cell r="C112" t="str">
            <v xml:space="preserve">NV 10-80                                          </v>
          </cell>
          <cell r="D112">
            <v>242</v>
          </cell>
          <cell r="E112" t="str">
            <v>HI43</v>
          </cell>
        </row>
        <row r="113">
          <cell r="A113" t="str">
            <v>IP02D</v>
          </cell>
          <cell r="B113" t="str">
            <v xml:space="preserve">W/F INSPECTION                                    </v>
          </cell>
          <cell r="C113" t="str">
            <v xml:space="preserve">TCP8525                                           </v>
          </cell>
          <cell r="D113" t="str">
            <v xml:space="preserve">960811-T34        </v>
          </cell>
          <cell r="E113" t="str">
            <v>IP02D</v>
          </cell>
        </row>
        <row r="114">
          <cell r="A114" t="str">
            <v>IP82E</v>
          </cell>
          <cell r="B114" t="str">
            <v xml:space="preserve">W/F INSPECTION(IP82E)                             </v>
          </cell>
          <cell r="C114" t="str">
            <v xml:space="preserve">TCP 8525                                          </v>
          </cell>
          <cell r="D114" t="str">
            <v xml:space="preserve">                  </v>
          </cell>
          <cell r="E114" t="str">
            <v>IP82E</v>
          </cell>
        </row>
        <row r="115">
          <cell r="A115" t="str">
            <v>JS91E0</v>
          </cell>
          <cell r="B115" t="str">
            <v xml:space="preserve">CD- SEM(JS91E)                                    </v>
          </cell>
          <cell r="C115" t="str">
            <v xml:space="preserve">JWS-7500E                                         </v>
          </cell>
          <cell r="D115" t="str">
            <v xml:space="preserve">                  </v>
          </cell>
          <cell r="E115" t="str">
            <v>JS91E0</v>
          </cell>
        </row>
        <row r="116">
          <cell r="A116" t="str">
            <v>KIN61</v>
          </cell>
          <cell r="B116" t="str">
            <v xml:space="preserve">W/F INSPECTION                                    </v>
          </cell>
          <cell r="C116" t="str">
            <v xml:space="preserve">KLA2111                                           </v>
          </cell>
          <cell r="D116">
            <v>338</v>
          </cell>
          <cell r="E116" t="str">
            <v>KIN61</v>
          </cell>
        </row>
        <row r="117">
          <cell r="A117" t="str">
            <v>KIN62</v>
          </cell>
          <cell r="B117" t="str">
            <v xml:space="preserve">W/F INSPECTION                                    </v>
          </cell>
          <cell r="C117" t="str">
            <v xml:space="preserve">KLA-2130                                          </v>
          </cell>
          <cell r="D117">
            <v>408</v>
          </cell>
          <cell r="E117" t="str">
            <v>KIN62</v>
          </cell>
        </row>
        <row r="118">
          <cell r="A118" t="str">
            <v>KIN91</v>
          </cell>
          <cell r="B118" t="str">
            <v xml:space="preserve">WAFER INSPECTION SYS(KIN91)(2001.08유휴)          </v>
          </cell>
          <cell r="C118" t="str">
            <v xml:space="preserve">KLA2110                                           </v>
          </cell>
          <cell r="D118">
            <v>334</v>
          </cell>
          <cell r="E118" t="str">
            <v>KIN91</v>
          </cell>
        </row>
        <row r="119">
          <cell r="A119" t="str">
            <v>KL21E</v>
          </cell>
          <cell r="B119" t="str">
            <v xml:space="preserve">W/F INSPECTION                                    </v>
          </cell>
          <cell r="C119" t="str">
            <v xml:space="preserve">KLA2550                                           </v>
          </cell>
          <cell r="D119" t="str">
            <v xml:space="preserve">3072(372)         </v>
          </cell>
          <cell r="E119" t="str">
            <v>KL21E</v>
          </cell>
        </row>
        <row r="120">
          <cell r="A120" t="str">
            <v>KL22E</v>
          </cell>
          <cell r="B120" t="str">
            <v xml:space="preserve">W/F INSPECTION                                    </v>
          </cell>
          <cell r="C120" t="str">
            <v xml:space="preserve">KLA2131                                           </v>
          </cell>
          <cell r="D120" t="str">
            <v xml:space="preserve">W21XX474          </v>
          </cell>
          <cell r="E120" t="str">
            <v>KL22E</v>
          </cell>
        </row>
        <row r="121">
          <cell r="A121" t="str">
            <v>KL25E</v>
          </cell>
          <cell r="B121" t="str">
            <v xml:space="preserve">W/F INSPECTION(KL25E)                             </v>
          </cell>
          <cell r="C121" t="str">
            <v xml:space="preserve">KLA 2131                                          </v>
          </cell>
          <cell r="D121">
            <v>527</v>
          </cell>
          <cell r="E121" t="str">
            <v>KL25E</v>
          </cell>
        </row>
        <row r="122">
          <cell r="A122" t="str">
            <v>KOL63</v>
          </cell>
          <cell r="B122" t="str">
            <v xml:space="preserve">OVERAY(KOL63)(2001.08유휴)                        </v>
          </cell>
          <cell r="C122" t="str">
            <v xml:space="preserve">KLA 5011                                          </v>
          </cell>
          <cell r="D122">
            <v>219</v>
          </cell>
          <cell r="E122" t="str">
            <v>KOL63</v>
          </cell>
        </row>
        <row r="123">
          <cell r="A123" t="str">
            <v>KOL81</v>
          </cell>
          <cell r="B123" t="str">
            <v xml:space="preserve">OVERAY                                            </v>
          </cell>
          <cell r="C123" t="str">
            <v xml:space="preserve">KLA-5100                                          </v>
          </cell>
          <cell r="D123">
            <v>1342</v>
          </cell>
          <cell r="E123" t="str">
            <v>KOL81</v>
          </cell>
        </row>
        <row r="124">
          <cell r="A124" t="str">
            <v>KOL91</v>
          </cell>
          <cell r="B124" t="str">
            <v xml:space="preserve">OVERAY(KOL91(2001.08 유휴)_F2                     </v>
          </cell>
          <cell r="C124" t="str">
            <v xml:space="preserve">KLA 5000                                          </v>
          </cell>
          <cell r="D124">
            <v>171</v>
          </cell>
          <cell r="E124" t="str">
            <v>KOL91</v>
          </cell>
        </row>
        <row r="125">
          <cell r="A125" t="str">
            <v>LC11</v>
          </cell>
          <cell r="B125" t="str">
            <v xml:space="preserve">TRACK                                             </v>
          </cell>
          <cell r="C125" t="str">
            <v xml:space="preserve">V8800 WCWC-P                                      </v>
          </cell>
          <cell r="D125">
            <v>513894</v>
          </cell>
          <cell r="E125" t="str">
            <v>LC11</v>
          </cell>
        </row>
        <row r="126">
          <cell r="A126" t="str">
            <v>LC12</v>
          </cell>
          <cell r="B126" t="str">
            <v xml:space="preserve">TRACK                                             </v>
          </cell>
          <cell r="C126" t="str">
            <v xml:space="preserve">V8800 WCWC-P                                      </v>
          </cell>
          <cell r="D126">
            <v>513890</v>
          </cell>
          <cell r="E126" t="str">
            <v>LC12</v>
          </cell>
        </row>
        <row r="127">
          <cell r="A127" t="str">
            <v>LC13</v>
          </cell>
          <cell r="B127" t="str">
            <v xml:space="preserve">TRACK                                             </v>
          </cell>
          <cell r="C127" t="str">
            <v xml:space="preserve">V8800 WCWC-P                                      </v>
          </cell>
          <cell r="D127">
            <v>513892</v>
          </cell>
          <cell r="E127" t="str">
            <v>LC13</v>
          </cell>
        </row>
        <row r="128">
          <cell r="A128" t="str">
            <v>LC21</v>
          </cell>
          <cell r="B128" t="str">
            <v xml:space="preserve">TRACK                                             </v>
          </cell>
          <cell r="C128" t="str">
            <v xml:space="preserve">V8800 WCWC-P                                      </v>
          </cell>
          <cell r="D128">
            <v>513895</v>
          </cell>
          <cell r="E128" t="str">
            <v>LC21</v>
          </cell>
        </row>
        <row r="129">
          <cell r="A129" t="str">
            <v>LC22</v>
          </cell>
          <cell r="B129" t="str">
            <v xml:space="preserve">TRACK                                             </v>
          </cell>
          <cell r="C129" t="str">
            <v xml:space="preserve">V8800 WCWC-P                                      </v>
          </cell>
          <cell r="D129">
            <v>513893</v>
          </cell>
          <cell r="E129" t="str">
            <v>LC22</v>
          </cell>
        </row>
        <row r="130">
          <cell r="A130" t="str">
            <v>LC23</v>
          </cell>
          <cell r="B130" t="str">
            <v xml:space="preserve">TRACK                                             </v>
          </cell>
          <cell r="C130" t="str">
            <v xml:space="preserve">V8800 WCWC-P                                      </v>
          </cell>
          <cell r="D130">
            <v>513891</v>
          </cell>
          <cell r="E130" t="str">
            <v>LC23</v>
          </cell>
        </row>
        <row r="131">
          <cell r="A131" t="str">
            <v>LC30/31</v>
          </cell>
          <cell r="B131" t="str">
            <v xml:space="preserve">TRACK                                             </v>
          </cell>
          <cell r="C131" t="str">
            <v xml:space="preserve">MARK-V                                            </v>
          </cell>
          <cell r="D131" t="str">
            <v xml:space="preserve">522700/1          </v>
          </cell>
          <cell r="E131" t="str">
            <v>LC30/31</v>
          </cell>
        </row>
        <row r="132">
          <cell r="A132" t="str">
            <v>LC71/72</v>
          </cell>
          <cell r="B132" t="str">
            <v xml:space="preserve">TRACK                                             </v>
          </cell>
          <cell r="C132" t="str">
            <v xml:space="preserve">MARK-V                                            </v>
          </cell>
          <cell r="D132" t="str">
            <v xml:space="preserve">MD523766          </v>
          </cell>
          <cell r="E132" t="str">
            <v>LC71/72</v>
          </cell>
        </row>
        <row r="133">
          <cell r="A133" t="str">
            <v>LC73/74</v>
          </cell>
          <cell r="B133" t="str">
            <v xml:space="preserve">TRACK                                             </v>
          </cell>
          <cell r="C133" t="str">
            <v xml:space="preserve">MARK-V                                            </v>
          </cell>
          <cell r="D133" t="str">
            <v xml:space="preserve">MD523765          </v>
          </cell>
          <cell r="E133" t="str">
            <v>LC73/74</v>
          </cell>
        </row>
        <row r="134">
          <cell r="A134" t="str">
            <v>LC83</v>
          </cell>
          <cell r="B134" t="str">
            <v xml:space="preserve">TRACK                                             </v>
          </cell>
          <cell r="C134" t="str">
            <v xml:space="preserve">MARK-5                                            </v>
          </cell>
          <cell r="D134" t="str">
            <v xml:space="preserve">MD616562          </v>
          </cell>
          <cell r="E134" t="str">
            <v>LC83</v>
          </cell>
        </row>
        <row r="135">
          <cell r="A135" t="str">
            <v>LC93</v>
          </cell>
          <cell r="B135" t="str">
            <v xml:space="preserve">TRACK                                             </v>
          </cell>
          <cell r="C135" t="str">
            <v xml:space="preserve">MARK-V                                            </v>
          </cell>
          <cell r="D135">
            <v>513906</v>
          </cell>
          <cell r="E135" t="str">
            <v>LC93</v>
          </cell>
        </row>
        <row r="136">
          <cell r="A136" t="str">
            <v>LC94</v>
          </cell>
          <cell r="B136" t="str">
            <v xml:space="preserve">TRACK                                             </v>
          </cell>
          <cell r="C136" t="str">
            <v xml:space="preserve">MARK-V                                            </v>
          </cell>
          <cell r="D136">
            <v>513918</v>
          </cell>
          <cell r="E136" t="str">
            <v>LC94</v>
          </cell>
        </row>
        <row r="137">
          <cell r="A137" t="str">
            <v>LD11~12</v>
          </cell>
          <cell r="B137" t="str">
            <v xml:space="preserve">TRACK                                             </v>
          </cell>
          <cell r="C137" t="str">
            <v xml:space="preserve">VZ6600                                            </v>
          </cell>
          <cell r="D137" t="str">
            <v xml:space="preserve">0580-275          </v>
          </cell>
          <cell r="E137" t="str">
            <v>LD11~12</v>
          </cell>
        </row>
        <row r="138">
          <cell r="A138" t="str">
            <v>LD13~14</v>
          </cell>
          <cell r="B138" t="str">
            <v xml:space="preserve">TRACK                                             </v>
          </cell>
          <cell r="C138" t="str">
            <v xml:space="preserve">VZ6600                                            </v>
          </cell>
          <cell r="D138" t="str">
            <v xml:space="preserve">0580-278          </v>
          </cell>
          <cell r="E138" t="str">
            <v>LD13~14</v>
          </cell>
        </row>
        <row r="139">
          <cell r="A139" t="str">
            <v>LD21</v>
          </cell>
          <cell r="B139" t="str">
            <v xml:space="preserve">TRACK                                             </v>
          </cell>
          <cell r="C139" t="str">
            <v xml:space="preserve">MARK-V                                            </v>
          </cell>
          <cell r="D139">
            <v>513909</v>
          </cell>
          <cell r="E139" t="str">
            <v>LD21</v>
          </cell>
        </row>
        <row r="140">
          <cell r="A140" t="str">
            <v>LD22</v>
          </cell>
          <cell r="B140" t="str">
            <v xml:space="preserve">TRACK                                             </v>
          </cell>
          <cell r="C140" t="str">
            <v xml:space="preserve">V8800 WDWD-P                                      </v>
          </cell>
          <cell r="D140">
            <v>513896</v>
          </cell>
          <cell r="E140" t="str">
            <v>LD22</v>
          </cell>
        </row>
        <row r="141">
          <cell r="A141" t="str">
            <v>LD23</v>
          </cell>
          <cell r="B141" t="str">
            <v xml:space="preserve">TRACK                                             </v>
          </cell>
          <cell r="C141" t="str">
            <v xml:space="preserve">V8800 WDWD-P                                      </v>
          </cell>
          <cell r="D141">
            <v>513897</v>
          </cell>
          <cell r="E141" t="str">
            <v>LD23</v>
          </cell>
        </row>
        <row r="142">
          <cell r="A142" t="str">
            <v>LD40</v>
          </cell>
          <cell r="B142" t="str">
            <v xml:space="preserve">TRACK                                             </v>
          </cell>
          <cell r="C142" t="str">
            <v xml:space="preserve">MARK-5                                            </v>
          </cell>
          <cell r="D142" t="str">
            <v xml:space="preserve">MD616567          </v>
          </cell>
          <cell r="E142" t="str">
            <v>LD40</v>
          </cell>
        </row>
        <row r="143">
          <cell r="A143" t="str">
            <v>LD41</v>
          </cell>
          <cell r="B143" t="str">
            <v xml:space="preserve">TRACK                                             </v>
          </cell>
          <cell r="C143" t="str">
            <v xml:space="preserve">MARK-V                                            </v>
          </cell>
          <cell r="D143" t="str">
            <v xml:space="preserve">MD513908          </v>
          </cell>
          <cell r="E143" t="str">
            <v>LD41</v>
          </cell>
        </row>
        <row r="144">
          <cell r="A144" t="str">
            <v>LD51</v>
          </cell>
          <cell r="B144" t="str">
            <v xml:space="preserve">TRACK                                             </v>
          </cell>
          <cell r="C144" t="str">
            <v xml:space="preserve">MARK-V                                            </v>
          </cell>
          <cell r="D144">
            <v>513912</v>
          </cell>
          <cell r="E144" t="str">
            <v>LD51</v>
          </cell>
        </row>
        <row r="145">
          <cell r="A145" t="str">
            <v>LD61,62</v>
          </cell>
          <cell r="B145" t="str">
            <v xml:space="preserve">TRACK                                             </v>
          </cell>
          <cell r="C145" t="str">
            <v xml:space="preserve">MARK-VZ                                           </v>
          </cell>
          <cell r="D145" t="str">
            <v xml:space="preserve">MD616396,7        </v>
          </cell>
          <cell r="E145" t="str">
            <v>LD61,62</v>
          </cell>
        </row>
        <row r="146">
          <cell r="A146" t="str">
            <v>LD71</v>
          </cell>
          <cell r="B146" t="str">
            <v xml:space="preserve">TRACK                                             </v>
          </cell>
          <cell r="C146" t="str">
            <v xml:space="preserve">MARK-V                                            </v>
          </cell>
          <cell r="D146" t="str">
            <v xml:space="preserve">MD513768          </v>
          </cell>
          <cell r="E146" t="str">
            <v>LD71</v>
          </cell>
        </row>
        <row r="147">
          <cell r="A147" t="str">
            <v>LD72</v>
          </cell>
          <cell r="B147" t="str">
            <v xml:space="preserve">TRACK                                             </v>
          </cell>
          <cell r="C147" t="str">
            <v xml:space="preserve">MARK-V                                            </v>
          </cell>
          <cell r="D147" t="str">
            <v xml:space="preserve">MD513767          </v>
          </cell>
          <cell r="E147" t="str">
            <v>LD72</v>
          </cell>
        </row>
        <row r="148">
          <cell r="A148" t="str">
            <v>LD73</v>
          </cell>
          <cell r="B148" t="str">
            <v xml:space="preserve">TRACK                                             </v>
          </cell>
          <cell r="C148" t="str">
            <v xml:space="preserve">MARK-V                                            </v>
          </cell>
          <cell r="D148" t="str">
            <v xml:space="preserve">MD513771          </v>
          </cell>
          <cell r="E148" t="str">
            <v>LD73</v>
          </cell>
        </row>
        <row r="149">
          <cell r="A149" t="str">
            <v>LD81</v>
          </cell>
          <cell r="B149" t="str">
            <v xml:space="preserve">TRACK                                             </v>
          </cell>
          <cell r="C149" t="str">
            <v xml:space="preserve">MARK-5                                            </v>
          </cell>
          <cell r="D149" t="str">
            <v xml:space="preserve">MD616565          </v>
          </cell>
          <cell r="E149" t="str">
            <v>LD81</v>
          </cell>
        </row>
        <row r="150">
          <cell r="A150" t="str">
            <v>LD82</v>
          </cell>
          <cell r="B150" t="str">
            <v xml:space="preserve">TRACK                                             </v>
          </cell>
          <cell r="C150" t="str">
            <v xml:space="preserve">MARK-5                                            </v>
          </cell>
          <cell r="D150" t="str">
            <v xml:space="preserve">MD616564          </v>
          </cell>
          <cell r="E150" t="str">
            <v>LD82</v>
          </cell>
        </row>
        <row r="151">
          <cell r="A151" t="str">
            <v>LD83</v>
          </cell>
          <cell r="B151" t="str">
            <v xml:space="preserve">TRACK                                             </v>
          </cell>
          <cell r="C151" t="str">
            <v xml:space="preserve">MARK-5                                            </v>
          </cell>
          <cell r="D151" t="str">
            <v xml:space="preserve">MD616566          </v>
          </cell>
          <cell r="E151" t="str">
            <v>LD83</v>
          </cell>
        </row>
        <row r="152">
          <cell r="A152" t="str">
            <v>LD91</v>
          </cell>
          <cell r="B152" t="str">
            <v xml:space="preserve">TRACK                                             </v>
          </cell>
          <cell r="C152" t="str">
            <v xml:space="preserve">MARK-V                                            </v>
          </cell>
          <cell r="D152" t="str">
            <v xml:space="preserve">MD513769          </v>
          </cell>
          <cell r="E152" t="str">
            <v>LD91</v>
          </cell>
        </row>
        <row r="153">
          <cell r="A153" t="str">
            <v>LD93</v>
          </cell>
          <cell r="B153" t="str">
            <v xml:space="preserve">TRACK                                             </v>
          </cell>
          <cell r="C153" t="str">
            <v xml:space="preserve">MARK-V                                            </v>
          </cell>
          <cell r="D153" t="str">
            <v xml:space="preserve">MD-513911         </v>
          </cell>
          <cell r="E153" t="str">
            <v>LD93</v>
          </cell>
        </row>
        <row r="154">
          <cell r="A154" t="str">
            <v>LM01자본적지출</v>
          </cell>
          <cell r="B154" t="str">
            <v xml:space="preserve">GENMARK ROBOT ASS'Y                               </v>
          </cell>
          <cell r="C154" t="str">
            <v xml:space="preserve">2LE0997084                                        </v>
          </cell>
          <cell r="D154" t="str">
            <v xml:space="preserve">                  </v>
          </cell>
          <cell r="E154" t="str">
            <v>LM01자본적지출</v>
          </cell>
        </row>
        <row r="155">
          <cell r="A155" t="str">
            <v>LM01D</v>
          </cell>
          <cell r="B155" t="str">
            <v xml:space="preserve">LASER MARKING(LM01D)                              </v>
          </cell>
          <cell r="C155" t="str">
            <v xml:space="preserve">SIGMA CLEAN                                       </v>
          </cell>
          <cell r="D155">
            <v>701861</v>
          </cell>
          <cell r="E155" t="str">
            <v>LM01D</v>
          </cell>
        </row>
        <row r="156">
          <cell r="A156" t="str">
            <v>ME51</v>
          </cell>
          <cell r="B156" t="str">
            <v xml:space="preserve">ETCHER                                            </v>
          </cell>
          <cell r="C156" t="str">
            <v xml:space="preserve">P-5000                                            </v>
          </cell>
          <cell r="D156">
            <v>6238</v>
          </cell>
          <cell r="E156" t="str">
            <v>ME51</v>
          </cell>
        </row>
        <row r="157">
          <cell r="A157" t="str">
            <v>ME52</v>
          </cell>
          <cell r="B157" t="str">
            <v xml:space="preserve">ETCHER                                            </v>
          </cell>
          <cell r="C157" t="str">
            <v xml:space="preserve">P-5000                                            </v>
          </cell>
          <cell r="D157">
            <v>6290</v>
          </cell>
          <cell r="E157" t="str">
            <v>ME52</v>
          </cell>
        </row>
        <row r="158">
          <cell r="A158" t="str">
            <v>ME53</v>
          </cell>
          <cell r="B158" t="str">
            <v xml:space="preserve">ETCHER                                            </v>
          </cell>
          <cell r="C158" t="str">
            <v xml:space="preserve">P-5000                                            </v>
          </cell>
          <cell r="D158">
            <v>6244</v>
          </cell>
          <cell r="E158" t="str">
            <v>ME53</v>
          </cell>
        </row>
        <row r="159">
          <cell r="A159" t="str">
            <v>ME55</v>
          </cell>
          <cell r="B159" t="str">
            <v xml:space="preserve">ETCHER                                            </v>
          </cell>
          <cell r="C159" t="str">
            <v xml:space="preserve">P 5000                                            </v>
          </cell>
          <cell r="D159">
            <v>6287</v>
          </cell>
          <cell r="E159" t="str">
            <v>ME55</v>
          </cell>
        </row>
        <row r="160">
          <cell r="A160" t="str">
            <v>ME56</v>
          </cell>
          <cell r="B160" t="str">
            <v xml:space="preserve">ETCHER                                            </v>
          </cell>
          <cell r="C160" t="str">
            <v xml:space="preserve">P-5000 MARK II                                    </v>
          </cell>
          <cell r="D160">
            <v>6402</v>
          </cell>
          <cell r="E160" t="str">
            <v>ME56</v>
          </cell>
        </row>
        <row r="161">
          <cell r="A161" t="str">
            <v>ME91</v>
          </cell>
          <cell r="B161" t="str">
            <v xml:space="preserve">ETCHER                                            </v>
          </cell>
          <cell r="C161" t="str">
            <v xml:space="preserve">TCP 9606                                          </v>
          </cell>
          <cell r="D161" t="str">
            <v xml:space="preserve">                  </v>
          </cell>
          <cell r="E161" t="str">
            <v>ME91</v>
          </cell>
        </row>
        <row r="162">
          <cell r="A162" t="str">
            <v>ME93</v>
          </cell>
          <cell r="B162" t="str">
            <v xml:space="preserve">ETCHER                                            </v>
          </cell>
          <cell r="C162" t="str">
            <v xml:space="preserve">TCP9600                                           </v>
          </cell>
          <cell r="D162">
            <v>4569</v>
          </cell>
          <cell r="E162" t="str">
            <v>ME93</v>
          </cell>
        </row>
        <row r="163">
          <cell r="A163" t="str">
            <v>MG91T(F/O)</v>
          </cell>
          <cell r="B163" t="str">
            <v xml:space="preserve">M-GAUGE(MG91T)(휴휴)_F3B                          </v>
          </cell>
          <cell r="C163" t="str">
            <v xml:space="preserve">M-GAUGE300                                        </v>
          </cell>
          <cell r="D163" t="str">
            <v xml:space="preserve">0889-0586         </v>
          </cell>
          <cell r="E163" t="str">
            <v>MG91T(F/O)</v>
          </cell>
        </row>
        <row r="164">
          <cell r="A164" t="str">
            <v>MI31</v>
          </cell>
          <cell r="B164" t="str">
            <v xml:space="preserve">IMPLANTER                                         </v>
          </cell>
          <cell r="C164" t="str">
            <v xml:space="preserve">NV-6200A                                          </v>
          </cell>
          <cell r="D164">
            <v>686</v>
          </cell>
          <cell r="E164" t="str">
            <v>MI31</v>
          </cell>
        </row>
        <row r="165">
          <cell r="A165" t="str">
            <v>MI33</v>
          </cell>
          <cell r="B165" t="str">
            <v xml:space="preserve">IMPLANTER                                         </v>
          </cell>
          <cell r="C165" t="str">
            <v xml:space="preserve">MEDIUM ION                                        </v>
          </cell>
          <cell r="D165">
            <v>714</v>
          </cell>
          <cell r="E165" t="str">
            <v>MI33</v>
          </cell>
        </row>
        <row r="166">
          <cell r="A166" t="str">
            <v>MI91</v>
          </cell>
          <cell r="B166" t="str">
            <v xml:space="preserve">IMPLANTER                                         </v>
          </cell>
          <cell r="C166" t="str">
            <v xml:space="preserve">E 220                                             </v>
          </cell>
          <cell r="D166" t="str">
            <v xml:space="preserve">                  </v>
          </cell>
          <cell r="E166" t="str">
            <v>MI91</v>
          </cell>
        </row>
        <row r="167">
          <cell r="A167" t="str">
            <v>MP21</v>
          </cell>
          <cell r="B167" t="str">
            <v xml:space="preserve">P/R STRIPPER                                      </v>
          </cell>
          <cell r="C167" t="str">
            <v xml:space="preserve">2 TUBE                                            </v>
          </cell>
          <cell r="D167">
            <v>9</v>
          </cell>
          <cell r="E167" t="str">
            <v>MP21</v>
          </cell>
        </row>
        <row r="168">
          <cell r="A168" t="str">
            <v>MS11D</v>
          </cell>
          <cell r="B168" t="str">
            <v xml:space="preserve">WET SINK                                          </v>
          </cell>
          <cell r="C168" t="str">
            <v xml:space="preserve">1500*900*1800                                     </v>
          </cell>
          <cell r="D168" t="str">
            <v xml:space="preserve">MS9009-01         </v>
          </cell>
          <cell r="E168" t="str">
            <v>MS11D</v>
          </cell>
        </row>
        <row r="169">
          <cell r="A169" t="str">
            <v>MS51T</v>
          </cell>
          <cell r="B169" t="str">
            <v xml:space="preserve">WET SINK(MS51T)TEST                               </v>
          </cell>
          <cell r="C169" t="str">
            <v xml:space="preserve">900*600*1100                                      </v>
          </cell>
          <cell r="D169" t="str">
            <v xml:space="preserve">89093000H         </v>
          </cell>
          <cell r="E169" t="str">
            <v>MS51T</v>
          </cell>
        </row>
        <row r="170">
          <cell r="A170" t="str">
            <v>MS71E</v>
          </cell>
          <cell r="B170" t="str">
            <v xml:space="preserve">WET SINK(MS71E)DLM                                </v>
          </cell>
          <cell r="C170" t="str">
            <v xml:space="preserve">MW-6B-2000                                        </v>
          </cell>
          <cell r="D170" t="str">
            <v xml:space="preserve">89092000H         </v>
          </cell>
          <cell r="E170" t="str">
            <v>MS71E</v>
          </cell>
        </row>
        <row r="171">
          <cell r="A171" t="str">
            <v>NA14D</v>
          </cell>
          <cell r="B171" t="str">
            <v xml:space="preserve">NANOSPEC(NA14D)                                   </v>
          </cell>
          <cell r="C171" t="str">
            <v xml:space="preserve">NANOSPEC 8000                                     </v>
          </cell>
          <cell r="D171" t="str">
            <v xml:space="preserve">8000-0396-0028    </v>
          </cell>
          <cell r="E171" t="str">
            <v>NA14D</v>
          </cell>
        </row>
        <row r="172">
          <cell r="A172" t="str">
            <v>NA21T</v>
          </cell>
          <cell r="B172" t="str">
            <v xml:space="preserve">NANOSPEC(NA21T)                                   </v>
          </cell>
          <cell r="C172" t="str">
            <v xml:space="preserve">NANOMETRIX 212                                    </v>
          </cell>
          <cell r="D172" t="str">
            <v xml:space="preserve">0189-H5470        </v>
          </cell>
          <cell r="E172" t="str">
            <v>NA21T</v>
          </cell>
        </row>
        <row r="173">
          <cell r="A173" t="str">
            <v>NA61E(2001.01</v>
          </cell>
          <cell r="B173" t="str">
            <v xml:space="preserve">NANOSPEC(NA61E)                                   </v>
          </cell>
          <cell r="C173" t="str">
            <v xml:space="preserve">NANOMETRIX 212                                    </v>
          </cell>
          <cell r="D173" t="str">
            <v xml:space="preserve">0689-H5489        </v>
          </cell>
          <cell r="E173" t="str">
            <v>NA61E(2001.01</v>
          </cell>
          <cell r="F173" t="str">
            <v>F/O)</v>
          </cell>
        </row>
        <row r="174">
          <cell r="A174" t="str">
            <v>NA81T</v>
          </cell>
          <cell r="B174" t="str">
            <v xml:space="preserve">NANOSPEC(NA81T)                                   </v>
          </cell>
          <cell r="C174" t="str">
            <v xml:space="preserve">NANOMETRIX 212                                    </v>
          </cell>
          <cell r="D174" t="str">
            <v xml:space="preserve">0189-H5463        </v>
          </cell>
          <cell r="E174" t="str">
            <v>NA81T</v>
          </cell>
        </row>
        <row r="175">
          <cell r="A175" t="str">
            <v>NA91C(F/O)</v>
          </cell>
          <cell r="B175" t="str">
            <v xml:space="preserve">NANO SPEC(NA91C)(유휴)_F2                         </v>
          </cell>
          <cell r="C175" t="str">
            <v xml:space="preserve">MODEL 215                                         </v>
          </cell>
          <cell r="D175" t="str">
            <v xml:space="preserve">                  </v>
          </cell>
          <cell r="E175" t="str">
            <v>NA91C(F/O)</v>
          </cell>
        </row>
        <row r="176">
          <cell r="A176" t="str">
            <v>NA91E</v>
          </cell>
          <cell r="B176" t="str">
            <v xml:space="preserve">NANO SPEC(NA91E)                                  </v>
          </cell>
          <cell r="C176" t="str">
            <v xml:space="preserve">COMMON                                            </v>
          </cell>
          <cell r="D176" t="str">
            <v xml:space="preserve">                  </v>
          </cell>
          <cell r="E176" t="str">
            <v>NA91E</v>
          </cell>
        </row>
        <row r="177">
          <cell r="A177" t="str">
            <v>NA91T</v>
          </cell>
          <cell r="B177" t="str">
            <v xml:space="preserve">NANO SPEC(NA91T)                                  </v>
          </cell>
          <cell r="C177" t="str">
            <v xml:space="preserve">MODEL 212VT                                       </v>
          </cell>
          <cell r="D177" t="str">
            <v xml:space="preserve">                  </v>
          </cell>
          <cell r="E177" t="str">
            <v>NA91T</v>
          </cell>
        </row>
        <row r="178">
          <cell r="A178" t="str">
            <v>NS11</v>
          </cell>
          <cell r="B178" t="str">
            <v xml:space="preserve">STEPPER                                           </v>
          </cell>
          <cell r="C178" t="str">
            <v xml:space="preserve">NSR-1505 G6E                                      </v>
          </cell>
          <cell r="D178">
            <v>81437</v>
          </cell>
          <cell r="E178" t="str">
            <v>NS11</v>
          </cell>
        </row>
        <row r="179">
          <cell r="A179" t="str">
            <v>NS12</v>
          </cell>
          <cell r="B179" t="str">
            <v xml:space="preserve">STEPPER                                           </v>
          </cell>
          <cell r="C179" t="str">
            <v xml:space="preserve">NSR-1505 G6E                                      </v>
          </cell>
          <cell r="D179">
            <v>81464</v>
          </cell>
          <cell r="E179" t="str">
            <v>NS12</v>
          </cell>
        </row>
        <row r="180">
          <cell r="A180" t="str">
            <v>NS13</v>
          </cell>
          <cell r="B180" t="str">
            <v xml:space="preserve">STEPPER                                           </v>
          </cell>
          <cell r="C180" t="str">
            <v xml:space="preserve">NSR-1505 G6E                                      </v>
          </cell>
          <cell r="D180">
            <v>81439</v>
          </cell>
          <cell r="E180" t="str">
            <v>NS13</v>
          </cell>
        </row>
        <row r="181">
          <cell r="A181" t="str">
            <v>NS14</v>
          </cell>
          <cell r="B181" t="str">
            <v xml:space="preserve">STEPPER                                           </v>
          </cell>
          <cell r="C181" t="str">
            <v xml:space="preserve">NSR2005i10C                                       </v>
          </cell>
          <cell r="D181">
            <v>1006011</v>
          </cell>
          <cell r="E181" t="str">
            <v>NS14</v>
          </cell>
        </row>
        <row r="182">
          <cell r="A182" t="str">
            <v>NS15</v>
          </cell>
          <cell r="B182" t="str">
            <v xml:space="preserve">STEPPER                                           </v>
          </cell>
          <cell r="C182" t="str">
            <v xml:space="preserve">NSR-1505 G6E                                      </v>
          </cell>
          <cell r="D182">
            <v>81442</v>
          </cell>
          <cell r="E182" t="str">
            <v>NS15</v>
          </cell>
        </row>
        <row r="183">
          <cell r="A183" t="str">
            <v>NS16</v>
          </cell>
          <cell r="B183" t="str">
            <v xml:space="preserve">STEPPER                                           </v>
          </cell>
          <cell r="C183" t="str">
            <v xml:space="preserve">NSR-1505G6E                                       </v>
          </cell>
          <cell r="D183">
            <v>83158</v>
          </cell>
          <cell r="E183" t="str">
            <v>NS16</v>
          </cell>
        </row>
        <row r="184">
          <cell r="A184" t="str">
            <v>NS21</v>
          </cell>
          <cell r="B184" t="str">
            <v xml:space="preserve">STEPPER                                           </v>
          </cell>
          <cell r="C184" t="str">
            <v xml:space="preserve">NSR2005-I9C                                       </v>
          </cell>
          <cell r="D184">
            <v>904129</v>
          </cell>
          <cell r="E184" t="str">
            <v>NS21</v>
          </cell>
        </row>
        <row r="185">
          <cell r="A185" t="str">
            <v>NS22</v>
          </cell>
          <cell r="B185" t="str">
            <v xml:space="preserve">STEPPER                                           </v>
          </cell>
          <cell r="C185" t="str">
            <v xml:space="preserve">NSR2005-I9C                                       </v>
          </cell>
          <cell r="D185">
            <v>904136</v>
          </cell>
          <cell r="E185" t="str">
            <v>NS22</v>
          </cell>
        </row>
        <row r="186">
          <cell r="A186" t="str">
            <v>NS23</v>
          </cell>
          <cell r="B186" t="str">
            <v xml:space="preserve">STEPPER                                           </v>
          </cell>
          <cell r="C186" t="str">
            <v xml:space="preserve">NSR2005I9C                                        </v>
          </cell>
          <cell r="D186">
            <v>904184</v>
          </cell>
          <cell r="E186" t="str">
            <v>NS23</v>
          </cell>
        </row>
        <row r="187">
          <cell r="A187" t="str">
            <v>NS24</v>
          </cell>
          <cell r="B187" t="str">
            <v xml:space="preserve">STEPPER                                           </v>
          </cell>
          <cell r="C187" t="str">
            <v xml:space="preserve">NSR2005I9C                                        </v>
          </cell>
          <cell r="D187">
            <v>904190</v>
          </cell>
          <cell r="E187" t="str">
            <v>NS24</v>
          </cell>
        </row>
        <row r="188">
          <cell r="A188" t="str">
            <v>NS25</v>
          </cell>
          <cell r="B188" t="str">
            <v xml:space="preserve">STEPPER                                           </v>
          </cell>
          <cell r="C188" t="str">
            <v xml:space="preserve">NSR2005I9C                                        </v>
          </cell>
          <cell r="D188">
            <v>904192</v>
          </cell>
          <cell r="E188" t="str">
            <v>NS25</v>
          </cell>
        </row>
        <row r="189">
          <cell r="A189" t="str">
            <v>NS26</v>
          </cell>
          <cell r="B189" t="str">
            <v xml:space="preserve">STEPPER                                           </v>
          </cell>
          <cell r="C189" t="str">
            <v xml:space="preserve">NSR2005I9C                                        </v>
          </cell>
          <cell r="D189">
            <v>904199</v>
          </cell>
          <cell r="E189" t="str">
            <v>NS26</v>
          </cell>
        </row>
        <row r="190">
          <cell r="A190" t="str">
            <v>NS31</v>
          </cell>
          <cell r="B190" t="str">
            <v xml:space="preserve">STEPPER                                           </v>
          </cell>
          <cell r="C190" t="str">
            <v xml:space="preserve">NSR-1505 G6E                                      </v>
          </cell>
          <cell r="D190">
            <v>83111</v>
          </cell>
          <cell r="E190" t="str">
            <v>NS31</v>
          </cell>
        </row>
        <row r="191">
          <cell r="A191" t="str">
            <v>NS32</v>
          </cell>
          <cell r="B191" t="str">
            <v xml:space="preserve">STEPPER                                           </v>
          </cell>
          <cell r="C191" t="str">
            <v xml:space="preserve">NSR-1505 G6E                                      </v>
          </cell>
          <cell r="D191">
            <v>83115</v>
          </cell>
          <cell r="E191" t="str">
            <v>NS32</v>
          </cell>
        </row>
        <row r="192">
          <cell r="A192" t="str">
            <v>NS33</v>
          </cell>
          <cell r="B192" t="str">
            <v xml:space="preserve">STEPPER                                           </v>
          </cell>
          <cell r="C192" t="str">
            <v xml:space="preserve">NSR-1505 G6E                                      </v>
          </cell>
          <cell r="D192">
            <v>83119</v>
          </cell>
          <cell r="E192" t="str">
            <v>NS33</v>
          </cell>
        </row>
        <row r="193">
          <cell r="A193" t="str">
            <v>NS34</v>
          </cell>
          <cell r="B193" t="str">
            <v xml:space="preserve">STEPPER                                           </v>
          </cell>
          <cell r="C193" t="str">
            <v xml:space="preserve">NSR-200SI8A                                       </v>
          </cell>
          <cell r="D193" t="str">
            <v xml:space="preserve">#803182           </v>
          </cell>
          <cell r="E193" t="str">
            <v>NS34</v>
          </cell>
        </row>
        <row r="194">
          <cell r="A194" t="str">
            <v>NS35</v>
          </cell>
          <cell r="B194" t="str">
            <v xml:space="preserve">STEPPER                                           </v>
          </cell>
          <cell r="C194" t="str">
            <v xml:space="preserve">NSR-200SI8A                                       </v>
          </cell>
          <cell r="D194" t="str">
            <v xml:space="preserve">#803177           </v>
          </cell>
          <cell r="E194" t="str">
            <v>NS35</v>
          </cell>
        </row>
        <row r="195">
          <cell r="A195" t="str">
            <v>NS36</v>
          </cell>
          <cell r="B195" t="str">
            <v xml:space="preserve">STEPPER                                           </v>
          </cell>
          <cell r="C195" t="str">
            <v xml:space="preserve">NSR2005I8A                                        </v>
          </cell>
          <cell r="D195">
            <v>803115</v>
          </cell>
          <cell r="E195" t="str">
            <v>NS36</v>
          </cell>
        </row>
        <row r="196">
          <cell r="A196" t="str">
            <v>NS43</v>
          </cell>
          <cell r="B196" t="str">
            <v xml:space="preserve">STEPPER                                           </v>
          </cell>
          <cell r="C196" t="str">
            <v xml:space="preserve">NSR2005i9C                                        </v>
          </cell>
          <cell r="D196">
            <v>904189</v>
          </cell>
          <cell r="E196" t="str">
            <v>NS43</v>
          </cell>
        </row>
        <row r="197">
          <cell r="A197" t="str">
            <v>NS44</v>
          </cell>
          <cell r="B197" t="str">
            <v xml:space="preserve">STEPPER                                           </v>
          </cell>
          <cell r="C197" t="str">
            <v xml:space="preserve">NSR2005i9C                                        </v>
          </cell>
          <cell r="D197">
            <v>904196</v>
          </cell>
          <cell r="E197" t="str">
            <v>NS44</v>
          </cell>
        </row>
        <row r="198">
          <cell r="A198" t="str">
            <v>NS45</v>
          </cell>
          <cell r="B198" t="str">
            <v xml:space="preserve">STEPPER                                           </v>
          </cell>
          <cell r="C198" t="str">
            <v xml:space="preserve">NSR2005-I9C                                       </v>
          </cell>
          <cell r="D198">
            <v>904137</v>
          </cell>
          <cell r="E198" t="str">
            <v>NS45</v>
          </cell>
        </row>
        <row r="199">
          <cell r="A199" t="str">
            <v>NS46</v>
          </cell>
          <cell r="B199" t="str">
            <v xml:space="preserve">STEPPER                                           </v>
          </cell>
          <cell r="C199" t="str">
            <v xml:space="preserve">FAB3 A-PHOTO 3                                    </v>
          </cell>
          <cell r="D199">
            <v>904187</v>
          </cell>
          <cell r="E199" t="str">
            <v>NS46</v>
          </cell>
        </row>
        <row r="200">
          <cell r="A200" t="str">
            <v>NS52</v>
          </cell>
          <cell r="B200" t="str">
            <v xml:space="preserve">STEPPER                                           </v>
          </cell>
          <cell r="C200" t="str">
            <v xml:space="preserve">NSR-2205i11D                                      </v>
          </cell>
          <cell r="D200">
            <v>1105569</v>
          </cell>
          <cell r="E200" t="str">
            <v>NS52</v>
          </cell>
        </row>
        <row r="201">
          <cell r="A201" t="str">
            <v>NS54</v>
          </cell>
          <cell r="B201" t="str">
            <v xml:space="preserve">STEPPER                                           </v>
          </cell>
          <cell r="C201" t="str">
            <v xml:space="preserve">NSR-1505G6E                                       </v>
          </cell>
          <cell r="D201">
            <v>83122</v>
          </cell>
          <cell r="E201" t="str">
            <v>NS54</v>
          </cell>
        </row>
        <row r="202">
          <cell r="A202" t="str">
            <v>NS55</v>
          </cell>
          <cell r="B202" t="str">
            <v xml:space="preserve">STEPPER                                           </v>
          </cell>
          <cell r="C202" t="str">
            <v xml:space="preserve">NSR-2005G8C                                       </v>
          </cell>
          <cell r="D202" t="str">
            <v xml:space="preserve">                  </v>
          </cell>
          <cell r="E202" t="str">
            <v>NS55</v>
          </cell>
        </row>
        <row r="203">
          <cell r="A203" t="str">
            <v>NS56</v>
          </cell>
          <cell r="B203" t="str">
            <v xml:space="preserve">STEPPER                                           </v>
          </cell>
          <cell r="C203" t="str">
            <v xml:space="preserve">NSR2005-I9C                                       </v>
          </cell>
          <cell r="D203">
            <v>904126</v>
          </cell>
          <cell r="E203" t="str">
            <v>NS56</v>
          </cell>
        </row>
        <row r="204">
          <cell r="A204" t="str">
            <v>NS81</v>
          </cell>
          <cell r="B204" t="str">
            <v xml:space="preserve">STEPPER                                           </v>
          </cell>
          <cell r="C204" t="str">
            <v xml:space="preserve">NSR-2005I10C                                      </v>
          </cell>
          <cell r="D204">
            <v>1004029</v>
          </cell>
          <cell r="E204" t="str">
            <v>NS81</v>
          </cell>
        </row>
        <row r="205">
          <cell r="A205" t="str">
            <v>NS82</v>
          </cell>
          <cell r="B205" t="str">
            <v xml:space="preserve">STEPPER                                           </v>
          </cell>
          <cell r="C205" t="str">
            <v xml:space="preserve">NSR-2005i9C                                       </v>
          </cell>
          <cell r="D205">
            <v>904110</v>
          </cell>
          <cell r="E205" t="str">
            <v>NS82</v>
          </cell>
        </row>
        <row r="206">
          <cell r="A206" t="str">
            <v>NS83</v>
          </cell>
          <cell r="B206" t="str">
            <v xml:space="preserve">STEPPER                                           </v>
          </cell>
          <cell r="C206" t="str">
            <v xml:space="preserve">NSR-2005i9C                                       </v>
          </cell>
          <cell r="D206">
            <v>904122</v>
          </cell>
          <cell r="E206" t="str">
            <v>NS83</v>
          </cell>
        </row>
        <row r="207">
          <cell r="A207" t="str">
            <v>NS84</v>
          </cell>
          <cell r="B207" t="str">
            <v xml:space="preserve">STEPPER                                           </v>
          </cell>
          <cell r="C207" t="str">
            <v xml:space="preserve">NSR-2005i9C                                       </v>
          </cell>
          <cell r="D207">
            <v>904125</v>
          </cell>
          <cell r="E207" t="str">
            <v>NS84</v>
          </cell>
        </row>
        <row r="208">
          <cell r="A208" t="str">
            <v>NS92</v>
          </cell>
          <cell r="B208" t="str">
            <v xml:space="preserve">STEPPER                                           </v>
          </cell>
          <cell r="C208" t="str">
            <v xml:space="preserve">NSR1755I7B                                        </v>
          </cell>
          <cell r="D208">
            <v>94512</v>
          </cell>
          <cell r="E208" t="str">
            <v>NS92</v>
          </cell>
        </row>
        <row r="209">
          <cell r="A209" t="str">
            <v>NS93</v>
          </cell>
          <cell r="B209" t="str">
            <v xml:space="preserve">STEPPER                                           </v>
          </cell>
          <cell r="C209" t="str">
            <v xml:space="preserve">NSR-2005I9C                                       </v>
          </cell>
          <cell r="D209">
            <v>904005</v>
          </cell>
          <cell r="E209" t="str">
            <v>NS93</v>
          </cell>
        </row>
        <row r="210">
          <cell r="A210" t="str">
            <v>NS94</v>
          </cell>
          <cell r="B210" t="str">
            <v xml:space="preserve">STEPPER(NS94)                                     </v>
          </cell>
          <cell r="C210" t="str">
            <v xml:space="preserve">NSR-2205111D                                      </v>
          </cell>
          <cell r="D210">
            <v>1105187</v>
          </cell>
          <cell r="E210" t="str">
            <v>NS94</v>
          </cell>
        </row>
        <row r="211">
          <cell r="A211" t="str">
            <v>NS95</v>
          </cell>
          <cell r="B211" t="str">
            <v xml:space="preserve">STEPPER(NS95 PART)                                </v>
          </cell>
          <cell r="C211" t="str">
            <v xml:space="preserve">L9D970018                                         </v>
          </cell>
          <cell r="D211">
            <v>1105372</v>
          </cell>
          <cell r="E211" t="str">
            <v>NS95</v>
          </cell>
          <cell r="F211" t="str">
            <v>PART</v>
          </cell>
        </row>
        <row r="212">
          <cell r="A212" t="str">
            <v>NS95</v>
          </cell>
          <cell r="B212" t="str">
            <v xml:space="preserve">STEP AND REPEAT SYSTEM(NS95 PART)                 </v>
          </cell>
          <cell r="C212" t="str">
            <v xml:space="preserve">L9D960087                                         </v>
          </cell>
          <cell r="D212">
            <v>1105372</v>
          </cell>
          <cell r="E212" t="str">
            <v>NS95</v>
          </cell>
          <cell r="F212" t="str">
            <v>PART</v>
          </cell>
        </row>
        <row r="213">
          <cell r="A213" t="str">
            <v>NS95</v>
          </cell>
          <cell r="B213" t="str">
            <v xml:space="preserve">STEP AND REPEAT SYSTEM(NS95 PART)                 </v>
          </cell>
          <cell r="C213" t="str">
            <v xml:space="preserve">L9D960079                                         </v>
          </cell>
          <cell r="D213">
            <v>1105372</v>
          </cell>
          <cell r="E213" t="str">
            <v>NS95</v>
          </cell>
          <cell r="F213" t="str">
            <v>PART</v>
          </cell>
        </row>
        <row r="214">
          <cell r="A214" t="str">
            <v>NS95</v>
          </cell>
          <cell r="B214" t="str">
            <v xml:space="preserve">STEPPER                                           </v>
          </cell>
          <cell r="C214" t="str">
            <v xml:space="preserve">L9D960065                                         </v>
          </cell>
          <cell r="D214">
            <v>1105372</v>
          </cell>
          <cell r="E214" t="str">
            <v>NS95</v>
          </cell>
        </row>
        <row r="215">
          <cell r="A215" t="str">
            <v>NV80</v>
          </cell>
          <cell r="B215" t="str">
            <v xml:space="preserve">CVD                                               </v>
          </cell>
          <cell r="C215" t="str">
            <v xml:space="preserve">CONCEPT-ONE 150                                   </v>
          </cell>
          <cell r="D215">
            <v>1033</v>
          </cell>
          <cell r="E215" t="str">
            <v>NV80</v>
          </cell>
        </row>
        <row r="216">
          <cell r="A216" t="str">
            <v>NV81</v>
          </cell>
          <cell r="B216" t="str">
            <v xml:space="preserve">CVD                                               </v>
          </cell>
          <cell r="C216" t="str">
            <v xml:space="preserve">CONCEPT ONE-15                                    </v>
          </cell>
          <cell r="D216">
            <v>627</v>
          </cell>
          <cell r="E216" t="str">
            <v>NV81</v>
          </cell>
        </row>
        <row r="217">
          <cell r="A217" t="str">
            <v>NV91</v>
          </cell>
          <cell r="B217" t="str">
            <v xml:space="preserve">CVD                                               </v>
          </cell>
          <cell r="C217" t="str">
            <v xml:space="preserve">NOVELLUS CONCE                                    </v>
          </cell>
          <cell r="D217" t="str">
            <v xml:space="preserve">89-31-87          </v>
          </cell>
          <cell r="E217" t="str">
            <v>NV91</v>
          </cell>
        </row>
        <row r="218">
          <cell r="A218" t="str">
            <v>NV92</v>
          </cell>
          <cell r="B218" t="str">
            <v xml:space="preserve">CHANGE KIT(CVD)                                   </v>
          </cell>
          <cell r="C218" t="str">
            <v xml:space="preserve">ONE-150 WITH                                      </v>
          </cell>
          <cell r="D218" t="str">
            <v xml:space="preserve">                  </v>
          </cell>
          <cell r="E218" t="str">
            <v>NV92</v>
          </cell>
        </row>
        <row r="219">
          <cell r="A219" t="str">
            <v>NV93</v>
          </cell>
          <cell r="B219" t="str">
            <v xml:space="preserve">CHANGE KIT(CVD)                                   </v>
          </cell>
          <cell r="C219" t="str">
            <v xml:space="preserve">ONE-150 WITH                                      </v>
          </cell>
          <cell r="D219" t="str">
            <v xml:space="preserve">                  </v>
          </cell>
          <cell r="E219" t="str">
            <v>NV93</v>
          </cell>
        </row>
        <row r="220">
          <cell r="A220" t="str">
            <v>OCL91</v>
          </cell>
          <cell r="B220" t="str">
            <v xml:space="preserve">WAFER CLEANER                                     </v>
          </cell>
          <cell r="C220" t="str">
            <v xml:space="preserve">AVANTI 9000                                       </v>
          </cell>
          <cell r="D220" t="str">
            <v xml:space="preserve">                  </v>
          </cell>
          <cell r="E220" t="str">
            <v>OCL91</v>
          </cell>
        </row>
        <row r="221">
          <cell r="A221" t="str">
            <v>OM31T</v>
          </cell>
          <cell r="B221" t="str">
            <v xml:space="preserve">OMNIMAP                                           </v>
          </cell>
          <cell r="C221" t="str">
            <v xml:space="preserve">RS-50/E                                           </v>
          </cell>
          <cell r="D221" t="str">
            <v xml:space="preserve">906T3             </v>
          </cell>
          <cell r="E221" t="str">
            <v>OM31T</v>
          </cell>
        </row>
        <row r="222">
          <cell r="A222" t="str">
            <v>OM41T</v>
          </cell>
          <cell r="B222" t="str">
            <v xml:space="preserve">OMNIMAP(OM41T)                                    </v>
          </cell>
          <cell r="C222" t="str">
            <v xml:space="preserve">RS35C                                             </v>
          </cell>
          <cell r="D222" t="str">
            <v xml:space="preserve">9310RS35C-02      </v>
          </cell>
          <cell r="E222" t="str">
            <v>OM41T</v>
          </cell>
        </row>
        <row r="223">
          <cell r="A223" t="str">
            <v>OM81E</v>
          </cell>
          <cell r="B223" t="str">
            <v xml:space="preserve">OMNIMAP                                           </v>
          </cell>
          <cell r="C223" t="str">
            <v xml:space="preserve">RS35C                                             </v>
          </cell>
          <cell r="D223" t="str">
            <v xml:space="preserve">960322R35C        </v>
          </cell>
          <cell r="E223" t="str">
            <v>OM81E</v>
          </cell>
        </row>
        <row r="224">
          <cell r="A224" t="str">
            <v>OM91T</v>
          </cell>
          <cell r="B224" t="str">
            <v xml:space="preserve">OMNIMAP                                           </v>
          </cell>
          <cell r="C224" t="str">
            <v xml:space="preserve">RS510E                                            </v>
          </cell>
          <cell r="D224">
            <v>90975</v>
          </cell>
          <cell r="E224" t="str">
            <v>OM91T</v>
          </cell>
        </row>
        <row r="225">
          <cell r="A225" t="str">
            <v>OS31E</v>
          </cell>
          <cell r="B225" t="str">
            <v xml:space="preserve">OPTISTATION(OS31E)                                </v>
          </cell>
          <cell r="C225" t="str">
            <v xml:space="preserve">OPTISTATION                                       </v>
          </cell>
          <cell r="D225" t="str">
            <v xml:space="preserve">3F-120            </v>
          </cell>
          <cell r="E225" t="str">
            <v>OS31E</v>
          </cell>
        </row>
        <row r="226">
          <cell r="A226" t="str">
            <v>OS41E</v>
          </cell>
          <cell r="B226" t="str">
            <v xml:space="preserve">OPTISTATION(OS41E)                                </v>
          </cell>
          <cell r="C226" t="str">
            <v xml:space="preserve">OPTISTATION                                       </v>
          </cell>
          <cell r="D226" t="str">
            <v xml:space="preserve">3F-121            </v>
          </cell>
          <cell r="E226" t="str">
            <v>OS41E</v>
          </cell>
        </row>
        <row r="227">
          <cell r="A227" t="str">
            <v>OS61E</v>
          </cell>
          <cell r="B227" t="str">
            <v xml:space="preserve">OPTISTATION(OS61E)                                </v>
          </cell>
          <cell r="C227" t="str">
            <v xml:space="preserve">OPTISTATION                                       </v>
          </cell>
          <cell r="D227" t="str">
            <v xml:space="preserve">3F-118            </v>
          </cell>
          <cell r="E227" t="str">
            <v>OS61E</v>
          </cell>
        </row>
        <row r="228">
          <cell r="A228" t="str">
            <v>OS61P</v>
          </cell>
          <cell r="B228" t="str">
            <v xml:space="preserve">OPTISTATION(OS61P)                                </v>
          </cell>
          <cell r="C228" t="str">
            <v xml:space="preserve">OPTISTATION                                       </v>
          </cell>
          <cell r="D228" t="str">
            <v xml:space="preserve">3F-125            </v>
          </cell>
          <cell r="E228" t="str">
            <v>OS61P</v>
          </cell>
        </row>
        <row r="229">
          <cell r="A229" t="str">
            <v>OS62P</v>
          </cell>
          <cell r="B229" t="str">
            <v xml:space="preserve">OPTISTATION                                       </v>
          </cell>
          <cell r="C229" t="str">
            <v xml:space="preserve">MARK-V                                            </v>
          </cell>
          <cell r="D229">
            <v>45220</v>
          </cell>
          <cell r="E229" t="str">
            <v>OS62P</v>
          </cell>
        </row>
        <row r="230">
          <cell r="A230" t="str">
            <v>OS81P</v>
          </cell>
          <cell r="B230" t="str">
            <v xml:space="preserve">OPTISTATION(OS81P)(2001.08유휴)                   </v>
          </cell>
          <cell r="C230" t="str">
            <v xml:space="preserve">OPTISTATION                                       </v>
          </cell>
          <cell r="D230" t="str">
            <v xml:space="preserve">3F-116            </v>
          </cell>
          <cell r="E230" t="str">
            <v>OS81P</v>
          </cell>
        </row>
        <row r="231">
          <cell r="A231" t="str">
            <v>OV81E</v>
          </cell>
          <cell r="B231" t="str">
            <v xml:space="preserve">OVEN(OV81E)                                       </v>
          </cell>
          <cell r="C231" t="str">
            <v xml:space="preserve">SCOV-2900H-S                                      </v>
          </cell>
          <cell r="D231">
            <v>960483</v>
          </cell>
          <cell r="E231" t="str">
            <v>OV81E</v>
          </cell>
        </row>
        <row r="232">
          <cell r="A232" t="str">
            <v>OV91T</v>
          </cell>
          <cell r="B232" t="str">
            <v xml:space="preserve">OVEN(OV91T)                                       </v>
          </cell>
          <cell r="C232" t="str">
            <v xml:space="preserve">DI-30H2                                           </v>
          </cell>
          <cell r="D232" t="str">
            <v xml:space="preserve">CA3A06-A          </v>
          </cell>
          <cell r="E232" t="str">
            <v>OV91T</v>
          </cell>
        </row>
        <row r="233">
          <cell r="A233" t="str">
            <v>PC11T</v>
          </cell>
          <cell r="B233" t="str">
            <v xml:space="preserve">SURFSCAN                                          </v>
          </cell>
          <cell r="C233" t="str">
            <v xml:space="preserve">SURFSCAN 4500                                     </v>
          </cell>
          <cell r="D233" t="str">
            <v xml:space="preserve">1189-390          </v>
          </cell>
          <cell r="E233" t="str">
            <v>PC11T</v>
          </cell>
        </row>
        <row r="234">
          <cell r="A234" t="str">
            <v>PC31T</v>
          </cell>
          <cell r="B234" t="str">
            <v xml:space="preserve">SURFSCAN                                          </v>
          </cell>
          <cell r="C234" t="str">
            <v xml:space="preserve">SURFSCAN 4500                                     </v>
          </cell>
          <cell r="D234" t="str">
            <v xml:space="preserve">0789-362          </v>
          </cell>
          <cell r="E234" t="str">
            <v>PC31T</v>
          </cell>
        </row>
        <row r="235">
          <cell r="A235" t="str">
            <v>PC41E</v>
          </cell>
          <cell r="B235" t="str">
            <v xml:space="preserve">SURFSCAN                                          </v>
          </cell>
          <cell r="C235" t="str">
            <v xml:space="preserve">SURFSCAN 4500                                     </v>
          </cell>
          <cell r="D235" t="str">
            <v xml:space="preserve">0789-360          </v>
          </cell>
          <cell r="E235" t="str">
            <v>PC41E</v>
          </cell>
        </row>
        <row r="236">
          <cell r="A236" t="str">
            <v>PC81T</v>
          </cell>
          <cell r="B236" t="str">
            <v xml:space="preserve">SURFSCAN                                          </v>
          </cell>
          <cell r="C236">
            <v>4500</v>
          </cell>
          <cell r="D236" t="str">
            <v xml:space="preserve">994-468           </v>
          </cell>
          <cell r="E236" t="str">
            <v>PC81T</v>
          </cell>
        </row>
        <row r="237">
          <cell r="A237" t="str">
            <v>PC91P</v>
          </cell>
          <cell r="B237" t="str">
            <v xml:space="preserve">SURFSCAN(PC91P)                                   </v>
          </cell>
          <cell r="C237" t="str">
            <v xml:space="preserve">208V,60HZ,29HA                                    </v>
          </cell>
          <cell r="D237" t="str">
            <v xml:space="preserve">                  </v>
          </cell>
          <cell r="E237" t="str">
            <v>PC91P</v>
          </cell>
        </row>
        <row r="238">
          <cell r="A238" t="str">
            <v>PE21</v>
          </cell>
          <cell r="B238" t="str">
            <v xml:space="preserve">CVD                                               </v>
          </cell>
          <cell r="C238" t="str">
            <v xml:space="preserve">P-5000                                            </v>
          </cell>
          <cell r="D238">
            <v>5254</v>
          </cell>
          <cell r="E238" t="str">
            <v>PE21</v>
          </cell>
        </row>
        <row r="239">
          <cell r="A239" t="str">
            <v>PE24</v>
          </cell>
          <cell r="B239" t="str">
            <v xml:space="preserve">CVD                                               </v>
          </cell>
          <cell r="C239" t="str">
            <v xml:space="preserve">P 5000 MARK II                                    </v>
          </cell>
          <cell r="D239">
            <v>5840</v>
          </cell>
          <cell r="E239" t="str">
            <v>PE24</v>
          </cell>
        </row>
        <row r="240">
          <cell r="A240" t="str">
            <v>PE25</v>
          </cell>
          <cell r="B240" t="str">
            <v xml:space="preserve">CVD                                               </v>
          </cell>
          <cell r="C240" t="str">
            <v xml:space="preserve">MARK-II                                           </v>
          </cell>
          <cell r="D240">
            <v>3041</v>
          </cell>
          <cell r="E240" t="str">
            <v>PE25</v>
          </cell>
        </row>
        <row r="241">
          <cell r="A241" t="str">
            <v>PE81</v>
          </cell>
          <cell r="B241" t="str">
            <v xml:space="preserve">CVD                                               </v>
          </cell>
          <cell r="C241" t="str">
            <v xml:space="preserve">P-5000                                            </v>
          </cell>
          <cell r="D241">
            <v>5255</v>
          </cell>
          <cell r="E241" t="str">
            <v>PE81</v>
          </cell>
        </row>
        <row r="242">
          <cell r="A242" t="str">
            <v>PE82</v>
          </cell>
          <cell r="B242" t="str">
            <v xml:space="preserve">CVD                                               </v>
          </cell>
          <cell r="C242" t="str">
            <v xml:space="preserve">P-5000                                            </v>
          </cell>
          <cell r="D242">
            <v>5260</v>
          </cell>
          <cell r="E242" t="str">
            <v>PE82</v>
          </cell>
        </row>
        <row r="243">
          <cell r="A243" t="str">
            <v>PS11</v>
          </cell>
          <cell r="B243" t="str">
            <v xml:space="preserve">P/R STRIPPER                                      </v>
          </cell>
          <cell r="C243" t="str">
            <v xml:space="preserve">L9A950001                                         </v>
          </cell>
          <cell r="D243" t="str">
            <v xml:space="preserve">93051-3           </v>
          </cell>
          <cell r="E243" t="str">
            <v>PS11</v>
          </cell>
        </row>
        <row r="244">
          <cell r="A244" t="str">
            <v>PS21</v>
          </cell>
          <cell r="B244" t="str">
            <v xml:space="preserve">P/R STRIPPER                                      </v>
          </cell>
          <cell r="C244" t="str">
            <v xml:space="preserve">DES-212-304                                       </v>
          </cell>
          <cell r="D244" t="str">
            <v xml:space="preserve">88101-4           </v>
          </cell>
          <cell r="E244" t="str">
            <v>PS21</v>
          </cell>
        </row>
        <row r="245">
          <cell r="A245" t="str">
            <v>PS22</v>
          </cell>
          <cell r="B245" t="str">
            <v xml:space="preserve">P/R STRIPPER                                      </v>
          </cell>
          <cell r="C245" t="str">
            <v xml:space="preserve">L9A950104                                         </v>
          </cell>
          <cell r="D245" t="str">
            <v xml:space="preserve">                  </v>
          </cell>
          <cell r="E245" t="str">
            <v>PS22</v>
          </cell>
        </row>
        <row r="246">
          <cell r="A246" t="str">
            <v>PS23</v>
          </cell>
          <cell r="B246" t="str">
            <v xml:space="preserve">P/R STRIPPER                                      </v>
          </cell>
          <cell r="C246" t="str">
            <v xml:space="preserve">DES-212-304                                       </v>
          </cell>
          <cell r="D246" t="str">
            <v xml:space="preserve">88101-3           </v>
          </cell>
          <cell r="E246" t="str">
            <v>PS23</v>
          </cell>
        </row>
        <row r="247">
          <cell r="A247" t="str">
            <v>PS24</v>
          </cell>
          <cell r="B247" t="str">
            <v xml:space="preserve">P/R STRIPPER                                      </v>
          </cell>
          <cell r="C247" t="str">
            <v xml:space="preserve">DES-212-304                                       </v>
          </cell>
          <cell r="D247" t="str">
            <v xml:space="preserve">88101-7           </v>
          </cell>
          <cell r="E247" t="str">
            <v>PS24</v>
          </cell>
        </row>
        <row r="248">
          <cell r="A248" t="str">
            <v>PS31</v>
          </cell>
          <cell r="B248" t="str">
            <v xml:space="preserve">P/R STRIPPER                                      </v>
          </cell>
          <cell r="C248" t="str">
            <v xml:space="preserve">DES-212-304                                       </v>
          </cell>
          <cell r="D248" t="str">
            <v xml:space="preserve">88101-1           </v>
          </cell>
          <cell r="E248" t="str">
            <v>PS31</v>
          </cell>
        </row>
        <row r="249">
          <cell r="A249" t="str">
            <v>PS32</v>
          </cell>
          <cell r="B249" t="str">
            <v xml:space="preserve">P/R STRIPPER                                      </v>
          </cell>
          <cell r="C249" t="str">
            <v xml:space="preserve">PR STRIPPER                                       </v>
          </cell>
          <cell r="D249" t="str">
            <v xml:space="preserve">                  </v>
          </cell>
          <cell r="E249" t="str">
            <v>PS32</v>
          </cell>
        </row>
        <row r="250">
          <cell r="A250" t="str">
            <v>PS33</v>
          </cell>
          <cell r="B250" t="str">
            <v xml:space="preserve">P/R STRIPPER                                      </v>
          </cell>
          <cell r="C250" t="str">
            <v xml:space="preserve">DES-212-304AVL                                    </v>
          </cell>
          <cell r="D250">
            <v>93052</v>
          </cell>
          <cell r="E250" t="str">
            <v>PS33</v>
          </cell>
        </row>
        <row r="251">
          <cell r="A251" t="str">
            <v>PS41</v>
          </cell>
          <cell r="B251" t="str">
            <v xml:space="preserve">P/R STRIPPER                                      </v>
          </cell>
          <cell r="C251" t="str">
            <v xml:space="preserve">DES-212-304                                       </v>
          </cell>
          <cell r="D251" t="str">
            <v xml:space="preserve">88101-6           </v>
          </cell>
          <cell r="E251" t="str">
            <v>PS41</v>
          </cell>
        </row>
        <row r="252">
          <cell r="A252" t="str">
            <v>PS42</v>
          </cell>
          <cell r="B252" t="str">
            <v xml:space="preserve">P/R STRIPPER                                      </v>
          </cell>
          <cell r="C252" t="str">
            <v xml:space="preserve">DES-212-304AVL                                    </v>
          </cell>
          <cell r="D252" t="str">
            <v xml:space="preserve">                  </v>
          </cell>
          <cell r="E252" t="str">
            <v>PS42</v>
          </cell>
        </row>
        <row r="253">
          <cell r="A253" t="str">
            <v>PS51</v>
          </cell>
          <cell r="B253" t="str">
            <v xml:space="preserve">P/R STRIPPER                                      </v>
          </cell>
          <cell r="C253" t="str">
            <v xml:space="preserve">DES-212-304                                       </v>
          </cell>
          <cell r="D253" t="str">
            <v xml:space="preserve">88101-5           </v>
          </cell>
          <cell r="E253" t="str">
            <v>PS51</v>
          </cell>
        </row>
        <row r="254">
          <cell r="A254" t="str">
            <v>PS52</v>
          </cell>
          <cell r="B254" t="str">
            <v xml:space="preserve">P/R STRIPPER                                      </v>
          </cell>
          <cell r="C254" t="str">
            <v xml:space="preserve">DES-212-304                                       </v>
          </cell>
          <cell r="D254">
            <v>89013</v>
          </cell>
          <cell r="E254" t="str">
            <v>PS52</v>
          </cell>
        </row>
        <row r="255">
          <cell r="A255" t="str">
            <v>PS71</v>
          </cell>
          <cell r="B255" t="str">
            <v xml:space="preserve">P/R STRIPPER                                      </v>
          </cell>
          <cell r="C255" t="str">
            <v xml:space="preserve">DES-212-304                                       </v>
          </cell>
          <cell r="D255" t="str">
            <v xml:space="preserve">88101-2           </v>
          </cell>
          <cell r="E255" t="str">
            <v>PS71</v>
          </cell>
        </row>
        <row r="256">
          <cell r="A256" t="str">
            <v>PS72</v>
          </cell>
          <cell r="B256" t="str">
            <v xml:space="preserve">P/R STRIPPER                                      </v>
          </cell>
          <cell r="C256" t="str">
            <v xml:space="preserve">PR STRIPPER                                       </v>
          </cell>
          <cell r="D256" t="str">
            <v xml:space="preserve">                  </v>
          </cell>
          <cell r="E256" t="str">
            <v>PS72</v>
          </cell>
        </row>
        <row r="257">
          <cell r="A257" t="str">
            <v>PS91</v>
          </cell>
          <cell r="B257" t="str">
            <v xml:space="preserve">P/R STRIPPER                                      </v>
          </cell>
          <cell r="C257" t="str">
            <v xml:space="preserve">DES-212-304                                       </v>
          </cell>
          <cell r="D257" t="str">
            <v xml:space="preserve">88101-8           </v>
          </cell>
          <cell r="E257" t="str">
            <v>PS91</v>
          </cell>
        </row>
        <row r="258">
          <cell r="A258" t="str">
            <v>PX71</v>
          </cell>
          <cell r="B258" t="str">
            <v xml:space="preserve">FURNACE                                           </v>
          </cell>
          <cell r="C258" t="str">
            <v xml:space="preserve">VF-4000                                           </v>
          </cell>
          <cell r="D258" t="str">
            <v xml:space="preserve">KF-52             </v>
          </cell>
          <cell r="E258" t="str">
            <v>PX71</v>
          </cell>
        </row>
        <row r="259">
          <cell r="A259" t="str">
            <v>PX72</v>
          </cell>
          <cell r="B259" t="str">
            <v xml:space="preserve">FURNACE                                           </v>
          </cell>
          <cell r="C259" t="str">
            <v xml:space="preserve">VF-4000 B                                         </v>
          </cell>
          <cell r="D259" t="str">
            <v xml:space="preserve">HI-0781           </v>
          </cell>
          <cell r="E259" t="str">
            <v>PX72</v>
          </cell>
        </row>
        <row r="260">
          <cell r="A260" t="str">
            <v>RB24</v>
          </cell>
          <cell r="B260" t="str">
            <v xml:space="preserve">ETCHER                                            </v>
          </cell>
          <cell r="C260" t="str">
            <v xml:space="preserve">RAINBOW4420                                       </v>
          </cell>
          <cell r="D260">
            <v>2522</v>
          </cell>
          <cell r="E260" t="str">
            <v>RB24</v>
          </cell>
        </row>
        <row r="261">
          <cell r="A261" t="str">
            <v>RB25</v>
          </cell>
          <cell r="B261" t="str">
            <v xml:space="preserve">ETCHER                                            </v>
          </cell>
          <cell r="C261" t="str">
            <v xml:space="preserve">RAINBOW4420                                       </v>
          </cell>
          <cell r="D261">
            <v>2560</v>
          </cell>
          <cell r="E261" t="str">
            <v>RB25</v>
          </cell>
        </row>
        <row r="262">
          <cell r="A262" t="str">
            <v>RB26</v>
          </cell>
          <cell r="B262" t="str">
            <v xml:space="preserve">ETCHER                                            </v>
          </cell>
          <cell r="C262" t="str">
            <v xml:space="preserve">RAINBOW4420                                       </v>
          </cell>
          <cell r="D262">
            <v>2551</v>
          </cell>
          <cell r="E262" t="str">
            <v>RB26</v>
          </cell>
        </row>
        <row r="263">
          <cell r="A263" t="str">
            <v>RB31</v>
          </cell>
          <cell r="B263" t="str">
            <v xml:space="preserve">ETCHER                                            </v>
          </cell>
          <cell r="C263" t="str">
            <v xml:space="preserve">RAINBOW 4406B                                     </v>
          </cell>
          <cell r="D263">
            <v>2110</v>
          </cell>
          <cell r="E263" t="str">
            <v>RB31</v>
          </cell>
        </row>
        <row r="264">
          <cell r="A264" t="str">
            <v>RB32</v>
          </cell>
          <cell r="B264" t="str">
            <v xml:space="preserve">ETCHER                                            </v>
          </cell>
          <cell r="C264" t="str">
            <v xml:space="preserve">RAINBOW 4406B                                     </v>
          </cell>
          <cell r="D264">
            <v>2113</v>
          </cell>
          <cell r="E264" t="str">
            <v>RB32</v>
          </cell>
        </row>
        <row r="265">
          <cell r="A265" t="str">
            <v>RB33</v>
          </cell>
          <cell r="B265" t="str">
            <v xml:space="preserve">ETCHER                                            </v>
          </cell>
          <cell r="C265" t="str">
            <v xml:space="preserve">RAINBOW 4406B                                     </v>
          </cell>
          <cell r="D265">
            <v>2108</v>
          </cell>
          <cell r="E265" t="str">
            <v>RB33</v>
          </cell>
        </row>
        <row r="266">
          <cell r="A266" t="str">
            <v>RB35</v>
          </cell>
          <cell r="B266" t="str">
            <v xml:space="preserve">ETCHER                                            </v>
          </cell>
          <cell r="C266" t="str">
            <v xml:space="preserve">LRC-POLY                                          </v>
          </cell>
          <cell r="D266">
            <v>2439</v>
          </cell>
          <cell r="E266" t="str">
            <v>RB35</v>
          </cell>
        </row>
        <row r="267">
          <cell r="A267" t="str">
            <v>RB36</v>
          </cell>
          <cell r="B267" t="str">
            <v xml:space="preserve">ETCHER                                            </v>
          </cell>
          <cell r="C267" t="str">
            <v xml:space="preserve">RAINBOW 4400                                      </v>
          </cell>
          <cell r="D267">
            <v>2239</v>
          </cell>
          <cell r="E267" t="str">
            <v>RB36</v>
          </cell>
        </row>
        <row r="268">
          <cell r="A268" t="str">
            <v>RB37</v>
          </cell>
          <cell r="B268" t="str">
            <v xml:space="preserve">ETCHER                                            </v>
          </cell>
          <cell r="C268" t="str">
            <v xml:space="preserve">RAINBOW 4400                                      </v>
          </cell>
          <cell r="D268">
            <v>2312</v>
          </cell>
          <cell r="E268" t="str">
            <v>RB37</v>
          </cell>
        </row>
        <row r="269">
          <cell r="A269" t="str">
            <v>RB38</v>
          </cell>
          <cell r="B269" t="str">
            <v xml:space="preserve">ETCHER                                            </v>
          </cell>
          <cell r="C269" t="str">
            <v xml:space="preserve">RAINBOW 4420                                      </v>
          </cell>
          <cell r="D269">
            <v>2926</v>
          </cell>
          <cell r="E269" t="str">
            <v>RB38</v>
          </cell>
        </row>
        <row r="270">
          <cell r="A270" t="str">
            <v>RB51</v>
          </cell>
          <cell r="B270" t="str">
            <v xml:space="preserve">ETCHER(RB51)                                      </v>
          </cell>
          <cell r="C270" t="str">
            <v xml:space="preserve">RAINBOW 4420                                      </v>
          </cell>
          <cell r="D270">
            <v>20006</v>
          </cell>
          <cell r="E270" t="str">
            <v>RB51</v>
          </cell>
        </row>
        <row r="271">
          <cell r="A271" t="str">
            <v>RD21D</v>
          </cell>
          <cell r="B271" t="str">
            <v xml:space="preserve">SCRUBBER(SR21D)                                   </v>
          </cell>
          <cell r="C271" t="str">
            <v xml:space="preserve">SS-W629-B                                         </v>
          </cell>
          <cell r="D271" t="str">
            <v xml:space="preserve">53700-8658        </v>
          </cell>
          <cell r="E271" t="str">
            <v>RD21D</v>
          </cell>
        </row>
        <row r="272">
          <cell r="A272" t="str">
            <v>RT91</v>
          </cell>
          <cell r="B272" t="str">
            <v xml:space="preserve">RTP SYSTEM                                        </v>
          </cell>
          <cell r="C272" t="str">
            <v xml:space="preserve">COMMON                                            </v>
          </cell>
          <cell r="D272">
            <v>96050253</v>
          </cell>
          <cell r="E272" t="str">
            <v>RT91</v>
          </cell>
        </row>
        <row r="273">
          <cell r="A273" t="str">
            <v>RT92</v>
          </cell>
          <cell r="B273" t="str">
            <v xml:space="preserve">RTP SYSTEM                                        </v>
          </cell>
          <cell r="C273">
            <v>8108</v>
          </cell>
          <cell r="D273">
            <v>8108</v>
          </cell>
          <cell r="E273" t="str">
            <v>RT92</v>
          </cell>
        </row>
        <row r="274">
          <cell r="A274" t="str">
            <v>S1WM03(F/O)</v>
          </cell>
          <cell r="B274" t="str">
            <v xml:space="preserve">WET STATION(유휴)_F2                              </v>
          </cell>
          <cell r="C274" t="str">
            <v xml:space="preserve">WMPSW-PH                                          </v>
          </cell>
          <cell r="D274" t="str">
            <v xml:space="preserve">930801-A          </v>
          </cell>
          <cell r="E274" t="str">
            <v>S1WM03(F/O)</v>
          </cell>
        </row>
        <row r="275">
          <cell r="A275" t="str">
            <v>SC73</v>
          </cell>
          <cell r="B275" t="str">
            <v xml:space="preserve">TRACK                                             </v>
          </cell>
          <cell r="C275" t="str">
            <v xml:space="preserve">POLYMIDE                                          </v>
          </cell>
          <cell r="D275">
            <v>18281</v>
          </cell>
          <cell r="E275" t="str">
            <v>SC73</v>
          </cell>
        </row>
        <row r="276">
          <cell r="A276" t="str">
            <v>SG41T</v>
          </cell>
          <cell r="B276" t="str">
            <v xml:space="preserve">SONO GAUGE(SG41T) F/O                             </v>
          </cell>
          <cell r="C276" t="str">
            <v xml:space="preserve">SONOGAGE300                                       </v>
          </cell>
          <cell r="D276" t="str">
            <v xml:space="preserve">HALE89-1056       </v>
          </cell>
          <cell r="E276" t="str">
            <v>SG41T</v>
          </cell>
        </row>
        <row r="277">
          <cell r="A277" t="str">
            <v>SG81</v>
          </cell>
          <cell r="B277" t="str">
            <v xml:space="preserve">TRACK                                             </v>
          </cell>
          <cell r="C277" t="str">
            <v xml:space="preserve">TR6132UD(SOG)                                     </v>
          </cell>
          <cell r="D277" t="str">
            <v xml:space="preserve">3P92C386          </v>
          </cell>
          <cell r="E277" t="str">
            <v>SG81</v>
          </cell>
        </row>
        <row r="278">
          <cell r="A278" t="str">
            <v>SG82</v>
          </cell>
          <cell r="B278" t="str">
            <v xml:space="preserve">TRACK                                             </v>
          </cell>
          <cell r="C278" t="str">
            <v xml:space="preserve">TR6133UD                                          </v>
          </cell>
          <cell r="D278" t="str">
            <v xml:space="preserve">SP95B461          </v>
          </cell>
          <cell r="E278" t="str">
            <v>SG82</v>
          </cell>
        </row>
        <row r="279">
          <cell r="A279" t="str">
            <v>SG83</v>
          </cell>
          <cell r="B279" t="str">
            <v xml:space="preserve">TRACK                                             </v>
          </cell>
          <cell r="C279" t="str">
            <v xml:space="preserve">TR6133UD                                          </v>
          </cell>
          <cell r="D279" t="str">
            <v xml:space="preserve">SP96A493          </v>
          </cell>
          <cell r="E279" t="str">
            <v>SG83</v>
          </cell>
        </row>
        <row r="280">
          <cell r="A280" t="str">
            <v>SG90</v>
          </cell>
          <cell r="B280" t="str">
            <v xml:space="preserve">TRACK                                             </v>
          </cell>
          <cell r="C280" t="str">
            <v xml:space="preserve">TR6133UD                                          </v>
          </cell>
          <cell r="D280" t="str">
            <v xml:space="preserve">SP965481          </v>
          </cell>
          <cell r="E280" t="str">
            <v>SG90</v>
          </cell>
        </row>
        <row r="281">
          <cell r="A281" t="str">
            <v>SI42</v>
          </cell>
          <cell r="B281" t="str">
            <v xml:space="preserve">CHANGE KIT(CVD)                                   </v>
          </cell>
          <cell r="C281" t="str">
            <v xml:space="preserve">L9A951522                                         </v>
          </cell>
          <cell r="D281">
            <v>4481</v>
          </cell>
          <cell r="E281" t="str">
            <v>SI42</v>
          </cell>
        </row>
        <row r="282">
          <cell r="A282" t="str">
            <v>SI51</v>
          </cell>
          <cell r="B282" t="str">
            <v xml:space="preserve">CVD                                               </v>
          </cell>
          <cell r="C282" t="str">
            <v xml:space="preserve">P-5000                                            </v>
          </cell>
          <cell r="D282">
            <v>5894</v>
          </cell>
          <cell r="E282" t="str">
            <v>SI51</v>
          </cell>
        </row>
        <row r="283">
          <cell r="A283" t="str">
            <v>SI52</v>
          </cell>
          <cell r="B283" t="str">
            <v xml:space="preserve">CVD                                               </v>
          </cell>
          <cell r="C283" t="str">
            <v xml:space="preserve">PRE-5000                                          </v>
          </cell>
          <cell r="D283">
            <v>4130</v>
          </cell>
          <cell r="E283" t="str">
            <v>SI52</v>
          </cell>
        </row>
        <row r="284">
          <cell r="A284" t="str">
            <v>SP21</v>
          </cell>
          <cell r="B284" t="str">
            <v xml:space="preserve">SPUTTER                                           </v>
          </cell>
          <cell r="C284" t="str">
            <v xml:space="preserve">ECLIPSE                                           </v>
          </cell>
          <cell r="D284">
            <v>21212</v>
          </cell>
          <cell r="E284" t="str">
            <v>SP21</v>
          </cell>
        </row>
        <row r="285">
          <cell r="A285" t="str">
            <v>SP31</v>
          </cell>
          <cell r="B285" t="str">
            <v xml:space="preserve">SPUTTER                                           </v>
          </cell>
          <cell r="C285" t="str">
            <v xml:space="preserve">M-2000-63113                                      </v>
          </cell>
          <cell r="D285" t="str">
            <v xml:space="preserve">89906-006         </v>
          </cell>
          <cell r="E285" t="str">
            <v>SP31</v>
          </cell>
        </row>
        <row r="286">
          <cell r="A286" t="str">
            <v>SP32</v>
          </cell>
          <cell r="B286" t="str">
            <v xml:space="preserve">SPUTTER                                           </v>
          </cell>
          <cell r="C286" t="str">
            <v xml:space="preserve">M-2000-61113                                      </v>
          </cell>
          <cell r="D286" t="str">
            <v xml:space="preserve">89819-022         </v>
          </cell>
          <cell r="E286" t="str">
            <v>SP32</v>
          </cell>
        </row>
        <row r="287">
          <cell r="A287" t="str">
            <v>SP41</v>
          </cell>
          <cell r="B287" t="str">
            <v xml:space="preserve">SPUTTER                                           </v>
          </cell>
          <cell r="C287" t="str">
            <v xml:space="preserve">M-2000-63113                                      </v>
          </cell>
          <cell r="D287" t="str">
            <v xml:space="preserve">89817-013         </v>
          </cell>
          <cell r="E287" t="str">
            <v>SP41</v>
          </cell>
        </row>
        <row r="288">
          <cell r="A288" t="str">
            <v>SP81</v>
          </cell>
          <cell r="B288" t="str">
            <v xml:space="preserve">SPUTTER                                           </v>
          </cell>
          <cell r="C288" t="str">
            <v xml:space="preserve">M2I                                               </v>
          </cell>
          <cell r="D288">
            <v>275</v>
          </cell>
          <cell r="E288" t="str">
            <v>SP81</v>
          </cell>
        </row>
        <row r="289">
          <cell r="A289" t="str">
            <v>SP82</v>
          </cell>
          <cell r="B289" t="str">
            <v xml:space="preserve">SPUTTER                                           </v>
          </cell>
          <cell r="C289" t="str">
            <v xml:space="preserve">M-200/8                                           </v>
          </cell>
          <cell r="D289">
            <v>74</v>
          </cell>
          <cell r="E289" t="str">
            <v>SP82</v>
          </cell>
        </row>
        <row r="290">
          <cell r="A290" t="str">
            <v>SP83</v>
          </cell>
          <cell r="B290" t="str">
            <v xml:space="preserve">SPUTTER                                           </v>
          </cell>
          <cell r="C290" t="str">
            <v xml:space="preserve">M-2000                                            </v>
          </cell>
          <cell r="D290">
            <v>123</v>
          </cell>
          <cell r="E290" t="str">
            <v>SP83</v>
          </cell>
        </row>
        <row r="291">
          <cell r="A291" t="str">
            <v>SP84</v>
          </cell>
          <cell r="B291" t="str">
            <v xml:space="preserve">SPUTTER                                           </v>
          </cell>
          <cell r="C291" t="str">
            <v xml:space="preserve">PRIMUS-2500                                       </v>
          </cell>
          <cell r="D291">
            <v>45531</v>
          </cell>
          <cell r="E291" t="str">
            <v>SP84</v>
          </cell>
        </row>
        <row r="292">
          <cell r="A292" t="str">
            <v>SP85</v>
          </cell>
          <cell r="B292" t="str">
            <v xml:space="preserve">SPUTTER                                           </v>
          </cell>
          <cell r="C292" t="str">
            <v xml:space="preserve">PRIMUS-2500                                       </v>
          </cell>
          <cell r="D292">
            <v>59065</v>
          </cell>
          <cell r="E292" t="str">
            <v>SP85</v>
          </cell>
        </row>
        <row r="293">
          <cell r="A293" t="str">
            <v>SP91</v>
          </cell>
          <cell r="B293" t="str">
            <v xml:space="preserve">SPUTTER                                           </v>
          </cell>
          <cell r="C293" t="str">
            <v xml:space="preserve">SYS55-HP                                          </v>
          </cell>
          <cell r="D293">
            <v>3351</v>
          </cell>
          <cell r="E293" t="str">
            <v>SP91</v>
          </cell>
        </row>
        <row r="294">
          <cell r="A294" t="str">
            <v>SP92</v>
          </cell>
          <cell r="B294" t="str">
            <v xml:space="preserve">SPUTTER                                           </v>
          </cell>
          <cell r="C294" t="str">
            <v xml:space="preserve">M21-6440                                          </v>
          </cell>
          <cell r="D294">
            <v>237</v>
          </cell>
          <cell r="E294" t="str">
            <v>SP92</v>
          </cell>
        </row>
        <row r="295">
          <cell r="A295" t="str">
            <v>SP93</v>
          </cell>
          <cell r="B295" t="str">
            <v xml:space="preserve">SPUTTER                                           </v>
          </cell>
          <cell r="C295" t="str">
            <v xml:space="preserve">M-2000-63113                                      </v>
          </cell>
          <cell r="D295" t="str">
            <v xml:space="preserve">                  </v>
          </cell>
          <cell r="E295" t="str">
            <v>SP93</v>
          </cell>
        </row>
        <row r="296">
          <cell r="A296" t="str">
            <v>SP94</v>
          </cell>
          <cell r="B296" t="str">
            <v xml:space="preserve">SPUTTER(SP94)(2001.08유휴)                        </v>
          </cell>
          <cell r="C296" t="str">
            <v xml:space="preserve">M-2000-61102                                      </v>
          </cell>
          <cell r="D296" t="str">
            <v xml:space="preserve">                  </v>
          </cell>
          <cell r="E296" t="str">
            <v>SP94</v>
          </cell>
        </row>
        <row r="297">
          <cell r="A297" t="str">
            <v>SR11D</v>
          </cell>
          <cell r="B297" t="str">
            <v xml:space="preserve">SCRUBBER(SR11D)                                   </v>
          </cell>
          <cell r="C297" t="str">
            <v xml:space="preserve">SSW-629 B                                         </v>
          </cell>
          <cell r="D297" t="str">
            <v xml:space="preserve">88700-8274        </v>
          </cell>
          <cell r="E297" t="str">
            <v>SR11D</v>
          </cell>
        </row>
        <row r="298">
          <cell r="A298" t="str">
            <v>SR12D</v>
          </cell>
          <cell r="B298" t="str">
            <v xml:space="preserve">SCRUBBER(SR12D)                                   </v>
          </cell>
          <cell r="C298" t="str">
            <v xml:space="preserve">SCW-629 B                                         </v>
          </cell>
          <cell r="D298" t="str">
            <v xml:space="preserve">88700-8222        </v>
          </cell>
          <cell r="E298" t="str">
            <v>SR12D</v>
          </cell>
        </row>
        <row r="299">
          <cell r="A299" t="str">
            <v>SR13D</v>
          </cell>
          <cell r="B299" t="str">
            <v xml:space="preserve">SCRUBBER(SR13D)                                   </v>
          </cell>
          <cell r="C299" t="str">
            <v xml:space="preserve">SSW629-B                                          </v>
          </cell>
          <cell r="D299" t="str">
            <v xml:space="preserve">53700-8629        </v>
          </cell>
          <cell r="E299" t="str">
            <v>SR13D</v>
          </cell>
        </row>
        <row r="300">
          <cell r="A300" t="str">
            <v>SR22T</v>
          </cell>
          <cell r="B300" t="str">
            <v xml:space="preserve">SCRUBBER(SR22T)                                   </v>
          </cell>
          <cell r="C300" t="str">
            <v xml:space="preserve">SCW-629 B                                         </v>
          </cell>
          <cell r="D300" t="str">
            <v xml:space="preserve">88700-8336        </v>
          </cell>
          <cell r="E300" t="str">
            <v>SR22T</v>
          </cell>
        </row>
        <row r="301">
          <cell r="A301" t="str">
            <v>SR23T</v>
          </cell>
          <cell r="B301" t="str">
            <v xml:space="preserve">SCRUBBER(SR23T)                                   </v>
          </cell>
          <cell r="C301" t="str">
            <v xml:space="preserve">SSW-629-13                                        </v>
          </cell>
          <cell r="D301" t="str">
            <v xml:space="preserve">91700-8525        </v>
          </cell>
          <cell r="E301" t="str">
            <v>SR23T</v>
          </cell>
        </row>
        <row r="302">
          <cell r="A302" t="str">
            <v>SR31T</v>
          </cell>
          <cell r="B302" t="str">
            <v xml:space="preserve">SCRUBBER(SR31T)                                   </v>
          </cell>
          <cell r="C302" t="str">
            <v xml:space="preserve">SSW 629B                                          </v>
          </cell>
          <cell r="D302" t="str">
            <v xml:space="preserve">91700-8584        </v>
          </cell>
          <cell r="E302" t="str">
            <v>SR31T</v>
          </cell>
        </row>
        <row r="303">
          <cell r="A303" t="str">
            <v>SR81E</v>
          </cell>
          <cell r="B303" t="str">
            <v xml:space="preserve">W/F SORT/MANAGMENT(SR81E)90%/192/TEST             </v>
          </cell>
          <cell r="C303" t="str">
            <v xml:space="preserve">WMS2150                                           </v>
          </cell>
          <cell r="D303" t="str">
            <v xml:space="preserve">3197-01162        </v>
          </cell>
          <cell r="E303" t="str">
            <v>SR81E</v>
          </cell>
        </row>
        <row r="304">
          <cell r="A304" t="str">
            <v>SR81T</v>
          </cell>
          <cell r="B304" t="str">
            <v xml:space="preserve">W/F SORT/MANAGEMENT(SR81T)90%(2001.08유휴)_F2     </v>
          </cell>
          <cell r="C304" t="str">
            <v xml:space="preserve">WMS2150                                           </v>
          </cell>
          <cell r="D304" t="str">
            <v xml:space="preserve">2897-01161        </v>
          </cell>
          <cell r="E304" t="str">
            <v>SR81T</v>
          </cell>
        </row>
        <row r="305">
          <cell r="A305" t="str">
            <v>SR81T</v>
          </cell>
          <cell r="B305" t="str">
            <v xml:space="preserve">SCRUBBER(SR81T)                                   </v>
          </cell>
          <cell r="C305" t="str">
            <v xml:space="preserve">SSW 629B                                          </v>
          </cell>
          <cell r="D305" t="str">
            <v xml:space="preserve">91700-8548        </v>
          </cell>
          <cell r="E305" t="str">
            <v>SR81T</v>
          </cell>
        </row>
        <row r="306">
          <cell r="A306" t="str">
            <v>SR82T</v>
          </cell>
          <cell r="B306" t="str">
            <v xml:space="preserve">SCRUBBER(SR82T)                                   </v>
          </cell>
          <cell r="C306" t="str">
            <v xml:space="preserve">SSW-629-B                                         </v>
          </cell>
          <cell r="D306" t="str">
            <v xml:space="preserve">53700-8631        </v>
          </cell>
          <cell r="E306" t="str">
            <v>SR82T</v>
          </cell>
        </row>
        <row r="307">
          <cell r="A307" t="str">
            <v>SR91T</v>
          </cell>
          <cell r="B307" t="str">
            <v xml:space="preserve">W/F SORT/MANAGEMENT(SR91T)90%(2001.08유휴)_F2     </v>
          </cell>
          <cell r="C307" t="str">
            <v xml:space="preserve">WMS2150                                           </v>
          </cell>
          <cell r="D307" t="str">
            <v xml:space="preserve">2897-01160        </v>
          </cell>
          <cell r="E307" t="str">
            <v>SR91T</v>
          </cell>
        </row>
        <row r="308">
          <cell r="A308" t="str">
            <v>SR91T</v>
          </cell>
          <cell r="B308" t="str">
            <v xml:space="preserve">SCRUBBER(SR91T)                                   </v>
          </cell>
          <cell r="C308" t="str">
            <v xml:space="preserve">SSW-629-B                                         </v>
          </cell>
          <cell r="D308" t="str">
            <v xml:space="preserve">53700-8632        </v>
          </cell>
          <cell r="E308" t="str">
            <v>SR91T</v>
          </cell>
        </row>
        <row r="309">
          <cell r="A309" t="str">
            <v>SR92T</v>
          </cell>
          <cell r="B309" t="str">
            <v xml:space="preserve">SCRUBBER(SR92T)                                   </v>
          </cell>
          <cell r="C309" t="str">
            <v xml:space="preserve">W-629-B                                           </v>
          </cell>
          <cell r="D309">
            <v>527008657</v>
          </cell>
          <cell r="E309" t="str">
            <v>SR92T</v>
          </cell>
        </row>
        <row r="310">
          <cell r="A310" t="str">
            <v>SS91</v>
          </cell>
          <cell r="B310" t="str">
            <v xml:space="preserve">P/R STRIPPER(SS91)                                </v>
          </cell>
          <cell r="C310" t="str">
            <v xml:space="preserve">L3510                                             </v>
          </cell>
          <cell r="D310">
            <v>97051</v>
          </cell>
          <cell r="E310" t="str">
            <v>SS91</v>
          </cell>
        </row>
        <row r="311">
          <cell r="A311" t="str">
            <v>SS93</v>
          </cell>
          <cell r="B311" t="str">
            <v xml:space="preserve">P/R STRIPPER                                      </v>
          </cell>
          <cell r="C311" t="str">
            <v xml:space="preserve">PEP3510A                                          </v>
          </cell>
          <cell r="D311" t="str">
            <v xml:space="preserve">                  </v>
          </cell>
          <cell r="E311" t="str">
            <v>SS93</v>
          </cell>
        </row>
        <row r="312">
          <cell r="A312" t="str">
            <v>ST01</v>
          </cell>
          <cell r="B312" t="str">
            <v xml:space="preserve">CLEAN STOCKER SYSTEM(ST01)                        </v>
          </cell>
          <cell r="C312" t="str">
            <v xml:space="preserve">DAIFUKU                                           </v>
          </cell>
          <cell r="D312" t="str">
            <v xml:space="preserve">                  </v>
          </cell>
          <cell r="E312" t="str">
            <v>ST01</v>
          </cell>
        </row>
        <row r="313">
          <cell r="A313" t="str">
            <v>ST02</v>
          </cell>
          <cell r="B313" t="str">
            <v xml:space="preserve">CLEAN STOCKER SYSTEM(ST02)                        </v>
          </cell>
          <cell r="C313" t="str">
            <v xml:space="preserve">DAIFUKU                                           </v>
          </cell>
          <cell r="D313" t="str">
            <v xml:space="preserve">                  </v>
          </cell>
          <cell r="E313" t="str">
            <v>ST02</v>
          </cell>
        </row>
        <row r="314">
          <cell r="A314" t="str">
            <v>ST03</v>
          </cell>
          <cell r="B314" t="str">
            <v xml:space="preserve">CLEAN STOCKER SYSTEM(ST03)                        </v>
          </cell>
          <cell r="C314" t="str">
            <v xml:space="preserve">DAIFUKU                                           </v>
          </cell>
          <cell r="D314" t="str">
            <v xml:space="preserve">                  </v>
          </cell>
          <cell r="E314" t="str">
            <v>ST03</v>
          </cell>
        </row>
        <row r="315">
          <cell r="A315" t="str">
            <v>ST05</v>
          </cell>
          <cell r="B315" t="str">
            <v xml:space="preserve">CLEAN STOCKER SYSTEM(ST05)                        </v>
          </cell>
          <cell r="C315" t="str">
            <v xml:space="preserve">DAIFUKU                                           </v>
          </cell>
          <cell r="D315" t="str">
            <v xml:space="preserve">                  </v>
          </cell>
          <cell r="E315" t="str">
            <v>ST05</v>
          </cell>
        </row>
        <row r="316">
          <cell r="A316" t="str">
            <v>ST07</v>
          </cell>
          <cell r="B316" t="str">
            <v xml:space="preserve">CLEAN STOCKER SYSTEM(ST07)                        </v>
          </cell>
          <cell r="C316" t="str">
            <v xml:space="preserve">DAIFUKU                                           </v>
          </cell>
          <cell r="D316" t="str">
            <v xml:space="preserve">                  </v>
          </cell>
          <cell r="E316" t="str">
            <v>ST07</v>
          </cell>
        </row>
        <row r="317">
          <cell r="A317" t="str">
            <v>ST09</v>
          </cell>
          <cell r="B317" t="str">
            <v xml:space="preserve">CLEAN STOCKER SYSTEM(ST09)                        </v>
          </cell>
          <cell r="C317" t="str">
            <v xml:space="preserve">DAIFUKU                                           </v>
          </cell>
          <cell r="D317" t="str">
            <v xml:space="preserve">                  </v>
          </cell>
          <cell r="E317" t="str">
            <v>ST09</v>
          </cell>
        </row>
        <row r="318">
          <cell r="A318" t="str">
            <v>ST21T(F/O)</v>
          </cell>
          <cell r="B318" t="str">
            <v xml:space="preserve">STRESS GAUGE(ST21T)                               </v>
          </cell>
          <cell r="C318" t="str">
            <v xml:space="preserve">FSM 8800                                          </v>
          </cell>
          <cell r="D318" t="str">
            <v xml:space="preserve">9316-49           </v>
          </cell>
          <cell r="E318" t="str">
            <v>ST21T(F/O)</v>
          </cell>
        </row>
        <row r="319">
          <cell r="A319" t="str">
            <v>ST81T</v>
          </cell>
          <cell r="B319" t="str">
            <v xml:space="preserve">STRESS GAUGE(ST81T)유휴                           </v>
          </cell>
          <cell r="C319" t="str">
            <v xml:space="preserve">F2418                                             </v>
          </cell>
          <cell r="D319">
            <v>4192</v>
          </cell>
          <cell r="E319" t="str">
            <v>ST81T</v>
          </cell>
        </row>
        <row r="320">
          <cell r="A320" t="str">
            <v>ST91T</v>
          </cell>
          <cell r="B320" t="str">
            <v xml:space="preserve">STRESS GAUGE(ST91T)                               </v>
          </cell>
          <cell r="C320" t="str">
            <v xml:space="preserve">FLX5400H                                          </v>
          </cell>
          <cell r="D320" t="str">
            <v xml:space="preserve">                  </v>
          </cell>
          <cell r="E320" t="str">
            <v>ST91T</v>
          </cell>
        </row>
        <row r="321">
          <cell r="A321" t="str">
            <v>TC41</v>
          </cell>
          <cell r="B321" t="str">
            <v xml:space="preserve">ETCHER                                            </v>
          </cell>
          <cell r="C321" t="str">
            <v xml:space="preserve">TEL 480                                           </v>
          </cell>
          <cell r="D321">
            <v>490423</v>
          </cell>
          <cell r="E321" t="str">
            <v>TC41</v>
          </cell>
        </row>
        <row r="322">
          <cell r="A322" t="str">
            <v>TC42</v>
          </cell>
          <cell r="B322" t="str">
            <v xml:space="preserve">ETCHER                                            </v>
          </cell>
          <cell r="C322" t="str">
            <v xml:space="preserve">TEL 480                                           </v>
          </cell>
          <cell r="D322">
            <v>490424</v>
          </cell>
          <cell r="E322" t="str">
            <v>TC42</v>
          </cell>
        </row>
        <row r="323">
          <cell r="A323" t="str">
            <v>TC43</v>
          </cell>
          <cell r="B323" t="str">
            <v xml:space="preserve">ETCHER                                            </v>
          </cell>
          <cell r="C323" t="str">
            <v xml:space="preserve">TEL 480                                           </v>
          </cell>
          <cell r="D323">
            <v>490403</v>
          </cell>
          <cell r="E323" t="str">
            <v>TC43</v>
          </cell>
        </row>
        <row r="324">
          <cell r="A324" t="str">
            <v>TC45</v>
          </cell>
          <cell r="B324" t="str">
            <v xml:space="preserve">ETCHER                                            </v>
          </cell>
          <cell r="C324" t="str">
            <v xml:space="preserve">TEL 480                                           </v>
          </cell>
          <cell r="D324">
            <v>490401</v>
          </cell>
          <cell r="E324" t="str">
            <v>TC45</v>
          </cell>
        </row>
        <row r="325">
          <cell r="A325" t="str">
            <v>TE40</v>
          </cell>
          <cell r="B325" t="str">
            <v xml:space="preserve">ETCHER                                            </v>
          </cell>
          <cell r="C325" t="str">
            <v xml:space="preserve">TE 5000SATC                                       </v>
          </cell>
          <cell r="D325" t="str">
            <v xml:space="preserve">K85706            </v>
          </cell>
          <cell r="E325" t="str">
            <v>TE40</v>
          </cell>
        </row>
        <row r="326">
          <cell r="A326" t="str">
            <v>TE41</v>
          </cell>
          <cell r="B326" t="str">
            <v xml:space="preserve">ETCHER                                            </v>
          </cell>
          <cell r="C326" t="str">
            <v xml:space="preserve">TEL 5000                                          </v>
          </cell>
          <cell r="D326" t="str">
            <v xml:space="preserve">5K 1182           </v>
          </cell>
          <cell r="E326" t="str">
            <v>TE41</v>
          </cell>
        </row>
        <row r="327">
          <cell r="A327" t="str">
            <v>TE42</v>
          </cell>
          <cell r="B327" t="str">
            <v xml:space="preserve">ETCHER                                            </v>
          </cell>
          <cell r="C327" t="str">
            <v xml:space="preserve">TEL 5000                                          </v>
          </cell>
          <cell r="D327" t="str">
            <v xml:space="preserve">5K 1184           </v>
          </cell>
          <cell r="E327" t="str">
            <v>TE42</v>
          </cell>
        </row>
        <row r="328">
          <cell r="A328" t="str">
            <v>TE43</v>
          </cell>
          <cell r="B328" t="str">
            <v xml:space="preserve">ETCHER                                            </v>
          </cell>
          <cell r="C328" t="str">
            <v xml:space="preserve">TEL 5000                                          </v>
          </cell>
          <cell r="D328" t="str">
            <v xml:space="preserve">5K 1183           </v>
          </cell>
          <cell r="E328" t="str">
            <v>TE43</v>
          </cell>
        </row>
        <row r="329">
          <cell r="A329" t="str">
            <v>TE44</v>
          </cell>
          <cell r="B329" t="str">
            <v xml:space="preserve">ETCHER                                            </v>
          </cell>
          <cell r="C329" t="str">
            <v xml:space="preserve">TEL 5000                                          </v>
          </cell>
          <cell r="D329" t="str">
            <v xml:space="preserve">5K 1185           </v>
          </cell>
          <cell r="E329" t="str">
            <v>TE44</v>
          </cell>
        </row>
        <row r="330">
          <cell r="A330" t="str">
            <v>TE45</v>
          </cell>
          <cell r="B330" t="str">
            <v xml:space="preserve">ETCHER                                            </v>
          </cell>
          <cell r="C330" t="str">
            <v xml:space="preserve">TE 5000ATL                                        </v>
          </cell>
          <cell r="D330" t="str">
            <v xml:space="preserve">5K2271            </v>
          </cell>
          <cell r="E330" t="str">
            <v>TE45</v>
          </cell>
        </row>
        <row r="331">
          <cell r="A331" t="str">
            <v>TE46</v>
          </cell>
          <cell r="B331" t="str">
            <v xml:space="preserve">ETCHER                                            </v>
          </cell>
          <cell r="C331" t="str">
            <v xml:space="preserve">TE 5000                                           </v>
          </cell>
          <cell r="D331" t="str">
            <v xml:space="preserve">5K2269            </v>
          </cell>
          <cell r="E331" t="str">
            <v>TE46</v>
          </cell>
        </row>
        <row r="332">
          <cell r="A332" t="str">
            <v>TE47</v>
          </cell>
          <cell r="B332" t="str">
            <v xml:space="preserve">ETCHER                                            </v>
          </cell>
          <cell r="C332" t="str">
            <v xml:space="preserve">TE 5000                                           </v>
          </cell>
          <cell r="D332" t="str">
            <v xml:space="preserve">5K2270            </v>
          </cell>
          <cell r="E332" t="str">
            <v>TE47</v>
          </cell>
        </row>
        <row r="333">
          <cell r="A333" t="str">
            <v>TE48</v>
          </cell>
          <cell r="B333" t="str">
            <v xml:space="preserve">ETCHER                                            </v>
          </cell>
          <cell r="C333" t="str">
            <v xml:space="preserve">TE 8500PATC                                       </v>
          </cell>
          <cell r="D333" t="str">
            <v xml:space="preserve">K85765            </v>
          </cell>
          <cell r="E333" t="str">
            <v>TE48</v>
          </cell>
        </row>
        <row r="334">
          <cell r="A334" t="str">
            <v>TE49</v>
          </cell>
          <cell r="B334" t="str">
            <v xml:space="preserve">ETCHER                                            </v>
          </cell>
          <cell r="C334" t="str">
            <v xml:space="preserve">TE 5000SATC                                       </v>
          </cell>
          <cell r="D334" t="str">
            <v xml:space="preserve">K85707            </v>
          </cell>
          <cell r="E334" t="str">
            <v>TE49</v>
          </cell>
        </row>
        <row r="335">
          <cell r="A335" t="str">
            <v>TE51</v>
          </cell>
          <cell r="B335" t="str">
            <v xml:space="preserve">ETCHER                                            </v>
          </cell>
          <cell r="C335" t="str">
            <v xml:space="preserve">TE5000SATC                                        </v>
          </cell>
          <cell r="D335" t="str">
            <v xml:space="preserve">5K 2277           </v>
          </cell>
          <cell r="E335" t="str">
            <v>TE51</v>
          </cell>
        </row>
        <row r="336">
          <cell r="A336" t="str">
            <v>TE52</v>
          </cell>
          <cell r="B336" t="str">
            <v xml:space="preserve">ETCHER                                            </v>
          </cell>
          <cell r="C336" t="str">
            <v xml:space="preserve">TE5000SATC                                        </v>
          </cell>
          <cell r="D336" t="str">
            <v xml:space="preserve">5K 2276           </v>
          </cell>
          <cell r="E336" t="str">
            <v>TE52</v>
          </cell>
        </row>
        <row r="337">
          <cell r="A337" t="str">
            <v>TE71</v>
          </cell>
          <cell r="B337" t="str">
            <v xml:space="preserve">ETCHER                                            </v>
          </cell>
          <cell r="C337" t="str">
            <v xml:space="preserve">TEL5000SATC                                       </v>
          </cell>
          <cell r="D337" t="str">
            <v xml:space="preserve">5K5479            </v>
          </cell>
          <cell r="E337" t="str">
            <v>TE71</v>
          </cell>
        </row>
        <row r="338">
          <cell r="A338" t="str">
            <v>TE72</v>
          </cell>
          <cell r="B338" t="str">
            <v xml:space="preserve">ETCHER                                            </v>
          </cell>
          <cell r="C338" t="str">
            <v xml:space="preserve">TEL5000SATC                                       </v>
          </cell>
          <cell r="D338" t="str">
            <v xml:space="preserve">5K5480            </v>
          </cell>
          <cell r="E338" t="str">
            <v>TE72</v>
          </cell>
        </row>
        <row r="339">
          <cell r="A339" t="str">
            <v>TE73</v>
          </cell>
          <cell r="B339" t="str">
            <v xml:space="preserve">ETCHER                                            </v>
          </cell>
          <cell r="C339" t="str">
            <v xml:space="preserve">TEL5000SATC                                       </v>
          </cell>
          <cell r="D339" t="str">
            <v xml:space="preserve">5K5481            </v>
          </cell>
          <cell r="E339" t="str">
            <v>TE73</v>
          </cell>
        </row>
        <row r="340">
          <cell r="A340" t="str">
            <v>TE74</v>
          </cell>
          <cell r="B340" t="str">
            <v xml:space="preserve">ETCHER                                            </v>
          </cell>
          <cell r="C340" t="str">
            <v xml:space="preserve">TE 5000                                           </v>
          </cell>
          <cell r="D340" t="str">
            <v xml:space="preserve">5K4380            </v>
          </cell>
          <cell r="E340" t="str">
            <v>TE74</v>
          </cell>
        </row>
        <row r="341">
          <cell r="A341" t="str">
            <v>TE81</v>
          </cell>
          <cell r="B341" t="str">
            <v xml:space="preserve">ETCHER                                            </v>
          </cell>
          <cell r="C341" t="str">
            <v xml:space="preserve">TE 8500PATC                                       </v>
          </cell>
          <cell r="D341" t="str">
            <v xml:space="preserve">K85712            </v>
          </cell>
          <cell r="E341" t="str">
            <v>TE81</v>
          </cell>
        </row>
        <row r="342">
          <cell r="A342" t="str">
            <v>TE82</v>
          </cell>
          <cell r="B342" t="str">
            <v xml:space="preserve">ETCHER                                            </v>
          </cell>
          <cell r="C342" t="str">
            <v xml:space="preserve">TE 8500P                                          </v>
          </cell>
          <cell r="D342" t="str">
            <v xml:space="preserve">K85715            </v>
          </cell>
          <cell r="E342" t="str">
            <v>TE82</v>
          </cell>
        </row>
        <row r="343">
          <cell r="A343" t="str">
            <v>TE83</v>
          </cell>
          <cell r="B343" t="str">
            <v xml:space="preserve">ETCHER                                            </v>
          </cell>
          <cell r="C343" t="str">
            <v xml:space="preserve">TE 8500P                                          </v>
          </cell>
          <cell r="D343" t="str">
            <v xml:space="preserve">K85714            </v>
          </cell>
          <cell r="E343" t="str">
            <v>TE83</v>
          </cell>
        </row>
        <row r="344">
          <cell r="A344" t="str">
            <v>TE84</v>
          </cell>
          <cell r="B344" t="str">
            <v xml:space="preserve">ETCHER                                            </v>
          </cell>
          <cell r="C344" t="str">
            <v xml:space="preserve">TE5000SATC                                        </v>
          </cell>
          <cell r="D344" t="str">
            <v xml:space="preserve">5K6494            </v>
          </cell>
          <cell r="E344" t="str">
            <v>TE84</v>
          </cell>
        </row>
        <row r="345">
          <cell r="A345" t="str">
            <v>TE85</v>
          </cell>
          <cell r="B345" t="str">
            <v xml:space="preserve">ETCHER                                            </v>
          </cell>
          <cell r="C345" t="str">
            <v xml:space="preserve">TE5000                                            </v>
          </cell>
          <cell r="D345" t="str">
            <v xml:space="preserve">5K3319            </v>
          </cell>
          <cell r="E345" t="str">
            <v>TE85</v>
          </cell>
        </row>
        <row r="346">
          <cell r="A346" t="str">
            <v>TL32</v>
          </cell>
          <cell r="B346" t="str">
            <v xml:space="preserve">ETCHER                                            </v>
          </cell>
          <cell r="C346" t="str">
            <v xml:space="preserve">TEL 580                                           </v>
          </cell>
          <cell r="D346">
            <v>590432</v>
          </cell>
          <cell r="E346" t="str">
            <v>TL32</v>
          </cell>
        </row>
        <row r="347">
          <cell r="A347" t="str">
            <v>TL41</v>
          </cell>
          <cell r="B347" t="str">
            <v xml:space="preserve">ETCHER                                            </v>
          </cell>
          <cell r="C347" t="str">
            <v xml:space="preserve">TEL 580                                           </v>
          </cell>
          <cell r="D347">
            <v>590410</v>
          </cell>
          <cell r="E347" t="str">
            <v>TL41</v>
          </cell>
        </row>
        <row r="348">
          <cell r="A348" t="str">
            <v>TL42</v>
          </cell>
          <cell r="B348" t="str">
            <v xml:space="preserve">ETCHER                                            </v>
          </cell>
          <cell r="C348" t="str">
            <v xml:space="preserve">TEL 580                                           </v>
          </cell>
          <cell r="D348">
            <v>590430</v>
          </cell>
          <cell r="E348" t="str">
            <v>TL42</v>
          </cell>
        </row>
        <row r="349">
          <cell r="A349" t="str">
            <v>TL51</v>
          </cell>
          <cell r="B349" t="str">
            <v xml:space="preserve">ETCHER                                            </v>
          </cell>
          <cell r="C349" t="str">
            <v xml:space="preserve">TEL 580                                           </v>
          </cell>
          <cell r="D349">
            <v>590428</v>
          </cell>
          <cell r="E349" t="str">
            <v>TL51</v>
          </cell>
        </row>
        <row r="350">
          <cell r="A350" t="str">
            <v>TL71</v>
          </cell>
          <cell r="B350" t="str">
            <v xml:space="preserve">ETCHER                                            </v>
          </cell>
          <cell r="C350" t="str">
            <v xml:space="preserve">TEL 580                                           </v>
          </cell>
          <cell r="D350">
            <v>590411</v>
          </cell>
          <cell r="E350" t="str">
            <v>TL71</v>
          </cell>
        </row>
        <row r="351">
          <cell r="A351" t="str">
            <v>TL72</v>
          </cell>
          <cell r="B351" t="str">
            <v xml:space="preserve">ETCHER                                            </v>
          </cell>
          <cell r="C351" t="str">
            <v xml:space="preserve">TEL 580                                           </v>
          </cell>
          <cell r="D351">
            <v>590408</v>
          </cell>
          <cell r="E351" t="str">
            <v>TL72</v>
          </cell>
        </row>
        <row r="352">
          <cell r="A352" t="str">
            <v>TL73</v>
          </cell>
          <cell r="B352" t="str">
            <v xml:space="preserve">ETCHER                                            </v>
          </cell>
          <cell r="C352" t="str">
            <v xml:space="preserve">TEL 580                                           </v>
          </cell>
          <cell r="D352">
            <v>590431</v>
          </cell>
          <cell r="E352" t="str">
            <v>TL73(2001.04</v>
          </cell>
          <cell r="F352" t="str">
            <v>유휴)</v>
          </cell>
        </row>
        <row r="353">
          <cell r="A353" t="str">
            <v>TL75</v>
          </cell>
          <cell r="B353" t="str">
            <v xml:space="preserve">ETCHER                                            </v>
          </cell>
          <cell r="C353" t="str">
            <v xml:space="preserve">TEL 580                                           </v>
          </cell>
          <cell r="D353">
            <v>590429</v>
          </cell>
          <cell r="E353" t="str">
            <v>TL75</v>
          </cell>
        </row>
        <row r="354">
          <cell r="A354" t="str">
            <v>TM21T</v>
          </cell>
          <cell r="B354" t="str">
            <v xml:space="preserve">FILM THICKNESS MEASUREMENT                        </v>
          </cell>
          <cell r="C354" t="str">
            <v xml:space="preserve">SM-300                                            </v>
          </cell>
          <cell r="D354" t="str">
            <v xml:space="preserve">940601-SM300      </v>
          </cell>
          <cell r="E354" t="str">
            <v>TM21T</v>
          </cell>
        </row>
        <row r="355">
          <cell r="A355" t="str">
            <v>TP91</v>
          </cell>
          <cell r="B355" t="str">
            <v xml:space="preserve">ETCHER(TP91)(2001.08유휴)                         </v>
          </cell>
          <cell r="C355" t="str">
            <v xml:space="preserve">TCP9406                                           </v>
          </cell>
          <cell r="D355" t="str">
            <v xml:space="preserve">                  </v>
          </cell>
          <cell r="E355" t="str">
            <v>TP91</v>
          </cell>
        </row>
        <row r="356">
          <cell r="A356" t="str">
            <v>TS41/SP</v>
          </cell>
          <cell r="B356" t="str">
            <v xml:space="preserve">SCRUBBER(TS41/2P)                                 </v>
          </cell>
          <cell r="C356" t="str">
            <v xml:space="preserve">SSW-629-B                                         </v>
          </cell>
          <cell r="D356" t="str">
            <v xml:space="preserve">90700-8477        </v>
          </cell>
          <cell r="E356" t="str">
            <v>TS41/SP</v>
          </cell>
        </row>
        <row r="357">
          <cell r="A357" t="str">
            <v>TS71P</v>
          </cell>
          <cell r="B357" t="str">
            <v xml:space="preserve">TRACK                                             </v>
          </cell>
          <cell r="C357" t="str">
            <v xml:space="preserve">MARK-V                                            </v>
          </cell>
          <cell r="D357" t="str">
            <v xml:space="preserve">MD513772          </v>
          </cell>
          <cell r="E357" t="str">
            <v>TS71P</v>
          </cell>
        </row>
        <row r="358">
          <cell r="A358" t="str">
            <v>TS81P</v>
          </cell>
          <cell r="B358" t="str">
            <v xml:space="preserve">TRACK                                             </v>
          </cell>
          <cell r="C358" t="str">
            <v xml:space="preserve">MARK-5                                            </v>
          </cell>
          <cell r="D358" t="str">
            <v xml:space="preserve">MD616568          </v>
          </cell>
          <cell r="E358" t="str">
            <v>TS81P</v>
          </cell>
        </row>
        <row r="359">
          <cell r="A359" t="str">
            <v>VE11TA</v>
          </cell>
          <cell r="B359" t="str">
            <v xml:space="preserve">CVD                                               </v>
          </cell>
          <cell r="C359" t="str">
            <v xml:space="preserve">ISR 200                                           </v>
          </cell>
          <cell r="D359" t="str">
            <v xml:space="preserve">0904-0020-0991    </v>
          </cell>
          <cell r="E359" t="str">
            <v>VE11TA</v>
          </cell>
        </row>
        <row r="360">
          <cell r="A360" t="str">
            <v>VE11TB</v>
          </cell>
          <cell r="B360" t="str">
            <v xml:space="preserve">CVD                                               </v>
          </cell>
          <cell r="C360" t="str">
            <v xml:space="preserve">EXCALIBUR                                         </v>
          </cell>
          <cell r="D360" t="str">
            <v xml:space="preserve">0904-0030-0792    </v>
          </cell>
          <cell r="E360" t="str">
            <v>VE11TB</v>
          </cell>
        </row>
        <row r="361">
          <cell r="A361" t="str">
            <v>VE21TA</v>
          </cell>
          <cell r="B361" t="str">
            <v xml:space="preserve">CVD                                               </v>
          </cell>
          <cell r="C361" t="str">
            <v xml:space="preserve">ISR-200                                           </v>
          </cell>
          <cell r="D361" t="str">
            <v xml:space="preserve">0902-0106-1093    </v>
          </cell>
          <cell r="E361" t="str">
            <v>VE21TA</v>
          </cell>
        </row>
        <row r="362">
          <cell r="A362" t="str">
            <v>VF001</v>
          </cell>
          <cell r="B362" t="str">
            <v xml:space="preserve">FURNACE                                           </v>
          </cell>
          <cell r="C362" t="str">
            <v xml:space="preserve">DD-802V-B                                         </v>
          </cell>
          <cell r="D362" t="str">
            <v xml:space="preserve">B1DD100519-11     </v>
          </cell>
          <cell r="E362" t="str">
            <v>VF001</v>
          </cell>
        </row>
        <row r="363">
          <cell r="A363" t="str">
            <v>VF002</v>
          </cell>
          <cell r="B363" t="str">
            <v xml:space="preserve">FURNACE                                           </v>
          </cell>
          <cell r="C363" t="str">
            <v xml:space="preserve">DD802V-B                                          </v>
          </cell>
          <cell r="D363" t="str">
            <v xml:space="preserve">B1DD100519-8      </v>
          </cell>
          <cell r="E363" t="str">
            <v>VF002</v>
          </cell>
        </row>
        <row r="364">
          <cell r="A364" t="str">
            <v>VF003</v>
          </cell>
          <cell r="B364" t="str">
            <v xml:space="preserve">FURNACE                                           </v>
          </cell>
          <cell r="C364" t="str">
            <v xml:space="preserve">DD802V-B                                          </v>
          </cell>
          <cell r="D364" t="str">
            <v xml:space="preserve">B1DD100519-15     </v>
          </cell>
          <cell r="E364" t="str">
            <v>VF003</v>
          </cell>
        </row>
        <row r="365">
          <cell r="A365" t="str">
            <v>VF004</v>
          </cell>
          <cell r="B365" t="str">
            <v xml:space="preserve">FURNACE                                           </v>
          </cell>
          <cell r="C365" t="str">
            <v xml:space="preserve">DD802V-BE                                         </v>
          </cell>
          <cell r="D365" t="str">
            <v xml:space="preserve">B1DD100519-16     </v>
          </cell>
          <cell r="E365" t="str">
            <v>VF004</v>
          </cell>
        </row>
        <row r="366">
          <cell r="A366" t="str">
            <v>VF005</v>
          </cell>
          <cell r="B366" t="str">
            <v xml:space="preserve">FURNACE                                           </v>
          </cell>
          <cell r="C366" t="str">
            <v xml:space="preserve">DJ802V-B                                          </v>
          </cell>
          <cell r="D366" t="str">
            <v xml:space="preserve">B1DC200465-13     </v>
          </cell>
          <cell r="E366" t="str">
            <v>VF005</v>
          </cell>
        </row>
        <row r="367">
          <cell r="A367" t="str">
            <v>VF006</v>
          </cell>
          <cell r="B367" t="str">
            <v xml:space="preserve">FURNACE                                           </v>
          </cell>
          <cell r="C367" t="str">
            <v xml:space="preserve">DJ802V-B                                          </v>
          </cell>
          <cell r="D367" t="str">
            <v xml:space="preserve">B1DC200465-16     </v>
          </cell>
          <cell r="E367" t="str">
            <v>VF006</v>
          </cell>
        </row>
        <row r="368">
          <cell r="A368" t="str">
            <v>VF007</v>
          </cell>
          <cell r="B368" t="str">
            <v xml:space="preserve">FURNACE                                           </v>
          </cell>
          <cell r="C368" t="str">
            <v xml:space="preserve">DJ802V-B                                          </v>
          </cell>
          <cell r="D368" t="str">
            <v xml:space="preserve">B1DC200465-9      </v>
          </cell>
          <cell r="E368" t="str">
            <v>VF007</v>
          </cell>
        </row>
        <row r="369">
          <cell r="A369" t="str">
            <v>VF008</v>
          </cell>
          <cell r="B369" t="str">
            <v xml:space="preserve">FURNACE                                           </v>
          </cell>
          <cell r="C369" t="str">
            <v xml:space="preserve">DJ802V-B                                          </v>
          </cell>
          <cell r="D369" t="str">
            <v xml:space="preserve">B1DC200465-8      </v>
          </cell>
          <cell r="E369" t="str">
            <v>VF008</v>
          </cell>
        </row>
        <row r="370">
          <cell r="A370" t="str">
            <v>VF009</v>
          </cell>
          <cell r="B370" t="str">
            <v xml:space="preserve">FURNACE                                           </v>
          </cell>
          <cell r="C370" t="str">
            <v xml:space="preserve">DJ802V-B                                          </v>
          </cell>
          <cell r="D370" t="str">
            <v xml:space="preserve">B1DC200465-10     </v>
          </cell>
          <cell r="E370" t="str">
            <v>VF009</v>
          </cell>
        </row>
        <row r="371">
          <cell r="A371" t="str">
            <v>VF010</v>
          </cell>
          <cell r="B371" t="str">
            <v xml:space="preserve">FURNACE                                           </v>
          </cell>
          <cell r="C371" t="str">
            <v xml:space="preserve">DJ802V-B                                          </v>
          </cell>
          <cell r="D371" t="str">
            <v xml:space="preserve">B1DC200465-6      </v>
          </cell>
          <cell r="E371" t="str">
            <v>VF010</v>
          </cell>
        </row>
        <row r="372">
          <cell r="A372" t="str">
            <v>VF011</v>
          </cell>
          <cell r="B372" t="str">
            <v xml:space="preserve">FURNACE                                           </v>
          </cell>
          <cell r="C372" t="str">
            <v xml:space="preserve">DJ802V-B                                          </v>
          </cell>
          <cell r="D372" t="str">
            <v xml:space="preserve">B1DC200465-11     </v>
          </cell>
          <cell r="E372" t="str">
            <v>VF011</v>
          </cell>
        </row>
        <row r="373">
          <cell r="A373" t="str">
            <v>VF012</v>
          </cell>
          <cell r="B373" t="str">
            <v xml:space="preserve">FURNACE                                           </v>
          </cell>
          <cell r="C373" t="str">
            <v xml:space="preserve">DJ802V-B                                          </v>
          </cell>
          <cell r="D373" t="str">
            <v xml:space="preserve">B1DC200465-12     </v>
          </cell>
          <cell r="E373" t="str">
            <v>VF012</v>
          </cell>
        </row>
        <row r="374">
          <cell r="A374" t="str">
            <v>VF013</v>
          </cell>
          <cell r="B374" t="str">
            <v xml:space="preserve">FURNACE                                           </v>
          </cell>
          <cell r="C374" t="str">
            <v xml:space="preserve">DD802V-B                                          </v>
          </cell>
          <cell r="D374" t="str">
            <v xml:space="preserve">B1DD-100519-9     </v>
          </cell>
          <cell r="E374" t="str">
            <v>VF013</v>
          </cell>
        </row>
        <row r="375">
          <cell r="A375" t="str">
            <v>VF014</v>
          </cell>
          <cell r="B375" t="str">
            <v xml:space="preserve">FURNACE                                           </v>
          </cell>
          <cell r="C375" t="str">
            <v xml:space="preserve">DD802V-B                                          </v>
          </cell>
          <cell r="D375" t="str">
            <v xml:space="preserve">B1DD-100519-7     </v>
          </cell>
          <cell r="E375" t="str">
            <v>VF014</v>
          </cell>
        </row>
        <row r="376">
          <cell r="A376" t="str">
            <v>VF015</v>
          </cell>
          <cell r="B376" t="str">
            <v xml:space="preserve">FURNACE                                           </v>
          </cell>
          <cell r="C376" t="str">
            <v xml:space="preserve">DD802V-B                                          </v>
          </cell>
          <cell r="D376" t="str">
            <v xml:space="preserve">B1DD100519-6      </v>
          </cell>
          <cell r="E376" t="str">
            <v>VF015</v>
          </cell>
        </row>
        <row r="377">
          <cell r="A377" t="str">
            <v>VF016</v>
          </cell>
          <cell r="B377" t="str">
            <v xml:space="preserve">FURNACE                                           </v>
          </cell>
          <cell r="C377" t="str">
            <v xml:space="preserve">DD802V-B                                          </v>
          </cell>
          <cell r="D377" t="str">
            <v xml:space="preserve">B1DD100519-5      </v>
          </cell>
          <cell r="E377" t="str">
            <v>VF016</v>
          </cell>
        </row>
        <row r="378">
          <cell r="A378" t="str">
            <v>VF017</v>
          </cell>
          <cell r="B378" t="str">
            <v xml:space="preserve">FURNACE                                           </v>
          </cell>
          <cell r="C378" t="str">
            <v xml:space="preserve">CC802V-B                                          </v>
          </cell>
          <cell r="D378" t="str">
            <v xml:space="preserve">B1DD100519-2      </v>
          </cell>
          <cell r="E378" t="str">
            <v>VF017</v>
          </cell>
        </row>
        <row r="379">
          <cell r="A379" t="str">
            <v>VF018</v>
          </cell>
          <cell r="B379" t="str">
            <v xml:space="preserve">FURNACE                                           </v>
          </cell>
          <cell r="C379" t="str">
            <v xml:space="preserve">DD802V-B                                          </v>
          </cell>
          <cell r="D379" t="str">
            <v xml:space="preserve">B1DD100519-4      </v>
          </cell>
          <cell r="E379" t="str">
            <v>VF018</v>
          </cell>
        </row>
        <row r="380">
          <cell r="A380" t="str">
            <v>VF019</v>
          </cell>
          <cell r="B380" t="str">
            <v xml:space="preserve">FURNACE                                           </v>
          </cell>
          <cell r="C380" t="str">
            <v xml:space="preserve">DD802V-B                                          </v>
          </cell>
          <cell r="D380" t="str">
            <v xml:space="preserve">B1DD100519-14     </v>
          </cell>
          <cell r="E380" t="str">
            <v>VF019</v>
          </cell>
        </row>
        <row r="381">
          <cell r="A381" t="str">
            <v>VF020</v>
          </cell>
          <cell r="B381" t="str">
            <v xml:space="preserve">FURNACE                                           </v>
          </cell>
          <cell r="C381" t="str">
            <v xml:space="preserve">DD802V-B                                          </v>
          </cell>
          <cell r="D381" t="str">
            <v xml:space="preserve">B1DC100519-13     </v>
          </cell>
          <cell r="E381" t="str">
            <v>VF020</v>
          </cell>
        </row>
        <row r="382">
          <cell r="A382" t="str">
            <v>VF021</v>
          </cell>
          <cell r="B382" t="str">
            <v xml:space="preserve">FURNACE                                           </v>
          </cell>
          <cell r="C382" t="str">
            <v xml:space="preserve">DJ802V-B                                          </v>
          </cell>
          <cell r="D382" t="str">
            <v xml:space="preserve">B1DC200465-15     </v>
          </cell>
          <cell r="E382" t="str">
            <v>VF021</v>
          </cell>
        </row>
        <row r="383">
          <cell r="A383" t="str">
            <v>VF022</v>
          </cell>
          <cell r="B383" t="str">
            <v xml:space="preserve">FURNACE                                           </v>
          </cell>
          <cell r="C383" t="str">
            <v xml:space="preserve">DJ802V-B                                          </v>
          </cell>
          <cell r="D383" t="str">
            <v xml:space="preserve">B1DC200465-14     </v>
          </cell>
          <cell r="E383" t="str">
            <v>VF022</v>
          </cell>
        </row>
        <row r="384">
          <cell r="A384" t="str">
            <v>VF023</v>
          </cell>
          <cell r="B384" t="str">
            <v xml:space="preserve">FURNACE                                           </v>
          </cell>
          <cell r="C384" t="str">
            <v xml:space="preserve">DJ802V-B                                          </v>
          </cell>
          <cell r="D384" t="str">
            <v xml:space="preserve">B1DC200465-7      </v>
          </cell>
          <cell r="E384" t="str">
            <v>VF023</v>
          </cell>
        </row>
        <row r="385">
          <cell r="A385" t="str">
            <v>VF024</v>
          </cell>
          <cell r="B385" t="str">
            <v xml:space="preserve">FURNACE                                           </v>
          </cell>
          <cell r="C385" t="str">
            <v xml:space="preserve">DJ802V-B                                          </v>
          </cell>
          <cell r="D385" t="str">
            <v xml:space="preserve">B1DC200465-5      </v>
          </cell>
          <cell r="E385" t="str">
            <v>VF024</v>
          </cell>
        </row>
        <row r="386">
          <cell r="A386" t="str">
            <v>VF025</v>
          </cell>
          <cell r="B386" t="str">
            <v xml:space="preserve">FURNACE                                           </v>
          </cell>
          <cell r="C386" t="str">
            <v xml:space="preserve">DD802V-B                                          </v>
          </cell>
          <cell r="D386" t="str">
            <v xml:space="preserve">B1DD100519-3      </v>
          </cell>
          <cell r="E386" t="str">
            <v>VF025</v>
          </cell>
        </row>
        <row r="387">
          <cell r="A387" t="str">
            <v>VF026</v>
          </cell>
          <cell r="B387" t="str">
            <v xml:space="preserve">FURNACE                                           </v>
          </cell>
          <cell r="C387" t="str">
            <v xml:space="preserve">DD801V-B                                          </v>
          </cell>
          <cell r="D387" t="str">
            <v xml:space="preserve">B1DD100519-1      </v>
          </cell>
          <cell r="E387" t="str">
            <v>VF026</v>
          </cell>
        </row>
        <row r="388">
          <cell r="A388" t="str">
            <v>VF027</v>
          </cell>
          <cell r="B388" t="str">
            <v xml:space="preserve">FURNACE                                           </v>
          </cell>
          <cell r="C388" t="str">
            <v xml:space="preserve">DD802V-B                                          </v>
          </cell>
          <cell r="D388" t="str">
            <v xml:space="preserve">B1DD100519-12     </v>
          </cell>
          <cell r="E388" t="str">
            <v>VF027</v>
          </cell>
        </row>
        <row r="389">
          <cell r="A389" t="str">
            <v>VF028</v>
          </cell>
          <cell r="B389" t="str">
            <v xml:space="preserve">FURNACE                                           </v>
          </cell>
          <cell r="C389" t="str">
            <v xml:space="preserve">DD802V-B                                          </v>
          </cell>
          <cell r="D389" t="str">
            <v xml:space="preserve">B1DD100519-10     </v>
          </cell>
          <cell r="E389" t="str">
            <v>VF028</v>
          </cell>
        </row>
        <row r="390">
          <cell r="A390" t="str">
            <v>VF029</v>
          </cell>
          <cell r="B390" t="str">
            <v xml:space="preserve">FURNACE                                           </v>
          </cell>
          <cell r="C390" t="str">
            <v xml:space="preserve">DJ802V-B                                          </v>
          </cell>
          <cell r="D390" t="str">
            <v xml:space="preserve">B1DC200465-4      </v>
          </cell>
          <cell r="E390" t="str">
            <v>VF029</v>
          </cell>
        </row>
        <row r="391">
          <cell r="A391" t="str">
            <v>VF030</v>
          </cell>
          <cell r="B391" t="str">
            <v xml:space="preserve">FURNACE                                           </v>
          </cell>
          <cell r="C391" t="str">
            <v xml:space="preserve">DJ802V-B                                          </v>
          </cell>
          <cell r="D391" t="str">
            <v xml:space="preserve">DIDC200465-3      </v>
          </cell>
          <cell r="E391" t="str">
            <v>VF030</v>
          </cell>
        </row>
        <row r="392">
          <cell r="A392" t="str">
            <v>VF031</v>
          </cell>
          <cell r="B392" t="str">
            <v xml:space="preserve">FURNACE                                           </v>
          </cell>
          <cell r="C392" t="str">
            <v xml:space="preserve">DJ802V-B                                          </v>
          </cell>
          <cell r="D392" t="str">
            <v xml:space="preserve">B1DC200465-2      </v>
          </cell>
          <cell r="E392" t="str">
            <v>VF031</v>
          </cell>
        </row>
        <row r="393">
          <cell r="A393" t="str">
            <v>VF032</v>
          </cell>
          <cell r="B393" t="str">
            <v xml:space="preserve">FURNACE                                           </v>
          </cell>
          <cell r="C393" t="str">
            <v xml:space="preserve">DJ802V-B                                          </v>
          </cell>
          <cell r="D393" t="str">
            <v xml:space="preserve">B1DC200465-1      </v>
          </cell>
          <cell r="E393" t="str">
            <v>VF032</v>
          </cell>
        </row>
        <row r="394">
          <cell r="A394" t="str">
            <v>VF034</v>
          </cell>
          <cell r="B394" t="str">
            <v xml:space="preserve">FURNACE                                           </v>
          </cell>
          <cell r="C394" t="str">
            <v xml:space="preserve">DJ-802V                                           </v>
          </cell>
          <cell r="D394" t="str">
            <v xml:space="preserve">DC2-02514-2       </v>
          </cell>
          <cell r="E394" t="str">
            <v>VF034</v>
          </cell>
        </row>
        <row r="395">
          <cell r="A395" t="str">
            <v>VF035</v>
          </cell>
          <cell r="B395" t="str">
            <v xml:space="preserve">FURNACE                                           </v>
          </cell>
          <cell r="C395" t="str">
            <v xml:space="preserve">DJ-802V                                           </v>
          </cell>
          <cell r="D395" t="str">
            <v xml:space="preserve">DC2-02514-1       </v>
          </cell>
          <cell r="E395" t="str">
            <v>VF035</v>
          </cell>
        </row>
        <row r="396">
          <cell r="A396" t="str">
            <v>VF037</v>
          </cell>
          <cell r="B396" t="str">
            <v xml:space="preserve">FURNACE                                           </v>
          </cell>
          <cell r="C396" t="str">
            <v xml:space="preserve">DD-802V                                           </v>
          </cell>
          <cell r="D396" t="str">
            <v xml:space="preserve">DC1-01409-1       </v>
          </cell>
          <cell r="E396" t="str">
            <v>VF037</v>
          </cell>
        </row>
        <row r="397">
          <cell r="A397" t="str">
            <v>VF038</v>
          </cell>
          <cell r="B397" t="str">
            <v xml:space="preserve">FURNACE                                           </v>
          </cell>
          <cell r="C397" t="str">
            <v xml:space="preserve">DD-802V                                           </v>
          </cell>
          <cell r="D397" t="str">
            <v xml:space="preserve">DC1-01409-2       </v>
          </cell>
          <cell r="E397" t="str">
            <v>VF038</v>
          </cell>
        </row>
        <row r="398">
          <cell r="A398" t="str">
            <v>VF22TA/B(F3)</v>
          </cell>
          <cell r="B398" t="str">
            <v xml:space="preserve">CVD                                               </v>
          </cell>
          <cell r="C398" t="str">
            <v xml:space="preserve">ISR-200                                           </v>
          </cell>
          <cell r="D398" t="str">
            <v xml:space="preserve">0902-0085-0192    </v>
          </cell>
          <cell r="E398" t="str">
            <v>VF22TA/B(F3)</v>
          </cell>
        </row>
        <row r="399">
          <cell r="A399" t="str">
            <v>VF801(2001.04</v>
          </cell>
          <cell r="B399" t="str">
            <v xml:space="preserve">FURNACE                                           </v>
          </cell>
          <cell r="C399" t="str">
            <v xml:space="preserve">DD-802V                                           </v>
          </cell>
          <cell r="D399" t="str">
            <v xml:space="preserve">DC1-01421-3       </v>
          </cell>
          <cell r="E399" t="str">
            <v>VF801(2001.04</v>
          </cell>
          <cell r="F399" t="str">
            <v>유휴)</v>
          </cell>
        </row>
        <row r="400">
          <cell r="A400" t="str">
            <v>VF802(2001.04</v>
          </cell>
          <cell r="B400" t="str">
            <v xml:space="preserve">FURNACE                                           </v>
          </cell>
          <cell r="C400" t="str">
            <v xml:space="preserve">DD-802V                                           </v>
          </cell>
          <cell r="D400" t="str">
            <v xml:space="preserve">DC1-01421-4       </v>
          </cell>
          <cell r="E400" t="str">
            <v>VF802(2001.04</v>
          </cell>
          <cell r="F400" t="str">
            <v>유휴)</v>
          </cell>
        </row>
        <row r="401">
          <cell r="A401" t="str">
            <v>VF803</v>
          </cell>
          <cell r="B401" t="str">
            <v xml:space="preserve">FURNACE                                           </v>
          </cell>
          <cell r="C401" t="str">
            <v xml:space="preserve">DD-802V                                           </v>
          </cell>
          <cell r="D401" t="str">
            <v xml:space="preserve">DC1-01421-6       </v>
          </cell>
          <cell r="E401" t="str">
            <v>VF803</v>
          </cell>
        </row>
        <row r="402">
          <cell r="A402" t="str">
            <v>VF804</v>
          </cell>
          <cell r="B402" t="str">
            <v xml:space="preserve">FURNACE                                           </v>
          </cell>
          <cell r="C402" t="str">
            <v xml:space="preserve">DD-802V                                           </v>
          </cell>
          <cell r="D402" t="str">
            <v xml:space="preserve">DC1-01421-5       </v>
          </cell>
          <cell r="E402" t="str">
            <v>VF804</v>
          </cell>
        </row>
        <row r="403">
          <cell r="A403" t="str">
            <v>VF805</v>
          </cell>
          <cell r="B403" t="str">
            <v xml:space="preserve">FURNACE                                           </v>
          </cell>
          <cell r="C403" t="str">
            <v xml:space="preserve">DD-802V                                           </v>
          </cell>
          <cell r="D403" t="str">
            <v xml:space="preserve">DC1-01421-2       </v>
          </cell>
          <cell r="E403" t="str">
            <v>VF805</v>
          </cell>
        </row>
        <row r="404">
          <cell r="A404" t="str">
            <v>VF806</v>
          </cell>
          <cell r="B404" t="str">
            <v xml:space="preserve">FURNACE                                           </v>
          </cell>
          <cell r="C404" t="str">
            <v xml:space="preserve">DD-802V                                           </v>
          </cell>
          <cell r="D404" t="str">
            <v xml:space="preserve">DC1-01421-1       </v>
          </cell>
          <cell r="E404" t="str">
            <v>VF806</v>
          </cell>
        </row>
        <row r="405">
          <cell r="A405" t="str">
            <v>VF901(2001.04</v>
          </cell>
          <cell r="B405" t="str">
            <v xml:space="preserve">FURNACE                                           </v>
          </cell>
          <cell r="C405" t="str">
            <v xml:space="preserve">TEOS-BPSG                                         </v>
          </cell>
          <cell r="D405" t="str">
            <v xml:space="preserve">TBP-2053          </v>
          </cell>
          <cell r="E405" t="str">
            <v>VF901(2001.04</v>
          </cell>
          <cell r="F405" t="str">
            <v>유휴)</v>
          </cell>
        </row>
        <row r="406">
          <cell r="A406" t="str">
            <v>VF902</v>
          </cell>
          <cell r="B406" t="str">
            <v xml:space="preserve">FURNACE(VF902)(2001.08유휴)                       </v>
          </cell>
          <cell r="C406" t="str">
            <v xml:space="preserve">P-DOPED POLY                                      </v>
          </cell>
          <cell r="D406" t="str">
            <v xml:space="preserve">DPF-2065          </v>
          </cell>
          <cell r="E406" t="str">
            <v>VF902</v>
          </cell>
        </row>
        <row r="407">
          <cell r="A407" t="str">
            <v>VF903</v>
          </cell>
          <cell r="B407" t="str">
            <v xml:space="preserve">FURNACE                                           </v>
          </cell>
          <cell r="C407" t="str">
            <v xml:space="preserve">@-605DN                                           </v>
          </cell>
          <cell r="D407" t="str">
            <v xml:space="preserve">300005*95*5326    </v>
          </cell>
          <cell r="E407" t="str">
            <v>VF903</v>
          </cell>
        </row>
        <row r="408">
          <cell r="A408" t="str">
            <v>VF904</v>
          </cell>
          <cell r="B408" t="str">
            <v xml:space="preserve">FURNACE                                           </v>
          </cell>
          <cell r="C408" t="str">
            <v xml:space="preserve">@-605C                                            </v>
          </cell>
          <cell r="D408" t="str">
            <v xml:space="preserve">300005*95*5327    </v>
          </cell>
          <cell r="E408" t="str">
            <v>VF904</v>
          </cell>
        </row>
        <row r="409">
          <cell r="A409" t="str">
            <v>VF906</v>
          </cell>
          <cell r="B409" t="str">
            <v xml:space="preserve">FURNACE(VF906)(2001.08유휴)                       </v>
          </cell>
          <cell r="C409" t="str">
            <v xml:space="preserve">IW-6C                                             </v>
          </cell>
          <cell r="D409" t="str">
            <v xml:space="preserve">93Z-5014          </v>
          </cell>
          <cell r="E409" t="str">
            <v>VF906</v>
          </cell>
        </row>
        <row r="410">
          <cell r="A410" t="str">
            <v>WE91</v>
          </cell>
          <cell r="B410" t="str">
            <v xml:space="preserve">CHANGE KIT(CVD)                                   </v>
          </cell>
          <cell r="C410" t="str">
            <v xml:space="preserve">5000 MARK                                         </v>
          </cell>
          <cell r="D410" t="str">
            <v xml:space="preserve">                  </v>
          </cell>
          <cell r="E410" t="str">
            <v>WE91</v>
          </cell>
        </row>
        <row r="411">
          <cell r="A411" t="str">
            <v>WE92</v>
          </cell>
          <cell r="B411" t="str">
            <v xml:space="preserve">CHAMBER(CVD)                                      </v>
          </cell>
          <cell r="C411" t="str">
            <v xml:space="preserve">P5000W                                            </v>
          </cell>
          <cell r="D411" t="str">
            <v xml:space="preserve">                  </v>
          </cell>
          <cell r="E411" t="str">
            <v>WE92</v>
          </cell>
        </row>
        <row r="412">
          <cell r="A412" t="str">
            <v>WE92</v>
          </cell>
          <cell r="B412" t="str">
            <v xml:space="preserve">CVD                                               </v>
          </cell>
          <cell r="C412" t="str">
            <v xml:space="preserve">BLANKET TUNGST                                    </v>
          </cell>
          <cell r="D412">
            <v>11469</v>
          </cell>
          <cell r="E412" t="str">
            <v>WE92</v>
          </cell>
        </row>
        <row r="413">
          <cell r="B413" t="str">
            <v xml:space="preserve">HOOK-UP                                           </v>
          </cell>
          <cell r="C413" t="str">
            <v xml:space="preserve">COMMON                                            </v>
          </cell>
          <cell r="D413" t="str">
            <v xml:space="preserve">                  </v>
          </cell>
        </row>
        <row r="414">
          <cell r="B414" t="str">
            <v xml:space="preserve">MICRO SCOPE                                       </v>
          </cell>
          <cell r="C414" t="str">
            <v xml:space="preserve">POLYVAR                                           </v>
          </cell>
          <cell r="D414">
            <v>410558</v>
          </cell>
        </row>
        <row r="415">
          <cell r="B415" t="str">
            <v xml:space="preserve">건가이자(FAB3)                                    </v>
          </cell>
          <cell r="C415" t="str">
            <v xml:space="preserve">건가이자                                          </v>
          </cell>
          <cell r="D415" t="str">
            <v xml:space="preserve">                  </v>
          </cell>
        </row>
        <row r="416">
          <cell r="B416" t="str">
            <v xml:space="preserve">95건가이자(FAB4)                                  </v>
          </cell>
          <cell r="C416" t="str">
            <v xml:space="preserve">건가이자                                          </v>
          </cell>
          <cell r="D416" t="str">
            <v xml:space="preserve">                  </v>
          </cell>
        </row>
        <row r="417">
          <cell r="B417" t="str">
            <v xml:space="preserve">장비이동(SPUTTER)                                 </v>
          </cell>
          <cell r="C417" t="str">
            <v xml:space="preserve">L9A961257                                         </v>
          </cell>
          <cell r="D417" t="str">
            <v xml:space="preserve">L9A961257         </v>
          </cell>
        </row>
        <row r="418">
          <cell r="B418" t="str">
            <v xml:space="preserve">CVD 장비이동                                      </v>
          </cell>
          <cell r="C418" t="str">
            <v xml:space="preserve">L9A951522                                         </v>
          </cell>
          <cell r="D418">
            <v>4481</v>
          </cell>
        </row>
        <row r="419">
          <cell r="B419" t="str">
            <v xml:space="preserve">AUTO WET STATION                                  </v>
          </cell>
          <cell r="C419" t="str">
            <v xml:space="preserve">HY-AWS-G001                                       </v>
          </cell>
          <cell r="D419" t="str">
            <v xml:space="preserve">W970502-001       </v>
          </cell>
        </row>
        <row r="420">
          <cell r="B420" t="str">
            <v xml:space="preserve">CD- SEM                                           </v>
          </cell>
          <cell r="C420" t="str">
            <v xml:space="preserve">OPAL 7830I                                        </v>
          </cell>
          <cell r="D420" t="str">
            <v xml:space="preserve">PR-118            </v>
          </cell>
        </row>
        <row r="421">
          <cell r="B421" t="str">
            <v xml:space="preserve">ETCH CHAMBER(P5000)/122                           </v>
          </cell>
          <cell r="C421" t="str">
            <v xml:space="preserve">P5000                                             </v>
          </cell>
          <cell r="D421" t="str">
            <v xml:space="preserve">                  </v>
          </cell>
        </row>
        <row r="422">
          <cell r="B422" t="str">
            <v xml:space="preserve">HANDLER(KASI임대/매각)                            </v>
          </cell>
          <cell r="C422" t="str">
            <v xml:space="preserve">1688ES2                                           </v>
          </cell>
          <cell r="D422" t="str">
            <v xml:space="preserve">1688ES2-0146      </v>
          </cell>
        </row>
        <row r="423">
          <cell r="B423" t="str">
            <v xml:space="preserve">CHAMBER(37%)/169/L9S950011                        </v>
          </cell>
          <cell r="C423" t="str">
            <v xml:space="preserve">D9Z930736                                         </v>
          </cell>
          <cell r="D423">
            <v>750610</v>
          </cell>
        </row>
        <row r="424">
          <cell r="B424" t="str">
            <v xml:space="preserve">SPUTTER 부대비용                                  </v>
          </cell>
          <cell r="C424" t="str">
            <v xml:space="preserve">부대비용                                          </v>
          </cell>
          <cell r="D424" t="str">
            <v xml:space="preserve">4552R2            </v>
          </cell>
        </row>
        <row r="425">
          <cell r="B425" t="str">
            <v xml:space="preserve">CMOS IMAGE SENSOR TESTER(KASI임대/매각)           </v>
          </cell>
          <cell r="C425" t="str">
            <v xml:space="preserve">A565IH                                            </v>
          </cell>
          <cell r="D425">
            <v>9906254</v>
          </cell>
        </row>
        <row r="426">
          <cell r="B426" t="str">
            <v xml:space="preserve">CIS TESTER(KASI임대/매각)                         </v>
          </cell>
          <cell r="C426" t="str">
            <v xml:space="preserve">A5651H                                            </v>
          </cell>
          <cell r="D426">
            <v>9928288</v>
          </cell>
        </row>
        <row r="427">
          <cell r="B427" t="str">
            <v xml:space="preserve">ILLUMINATOR(KASI임대/매각)                        </v>
          </cell>
          <cell r="C427" t="str">
            <v xml:space="preserve">GTC7000                                           </v>
          </cell>
          <cell r="D427" t="str">
            <v xml:space="preserve">IA7K200004051     </v>
          </cell>
        </row>
        <row r="428">
          <cell r="B428" t="str">
            <v xml:space="preserve">BLOCK CONTROLLER(60%)134                          </v>
          </cell>
          <cell r="C428" t="str">
            <v xml:space="preserve">COMMON                                            </v>
          </cell>
          <cell r="D428" t="str">
            <v xml:space="preserve">                  </v>
          </cell>
        </row>
        <row r="429">
          <cell r="B429" t="str">
            <v xml:space="preserve">FLAT ZONE ALIGNER(70%)/134                        </v>
          </cell>
          <cell r="C429" t="str">
            <v xml:space="preserve">COMMON                                            </v>
          </cell>
          <cell r="D429" t="str">
            <v xml:space="preserve">                  </v>
          </cell>
        </row>
        <row r="430">
          <cell r="B430" t="str">
            <v xml:space="preserve">MINI ENVIROMNENT SYSTEM/0134                      </v>
          </cell>
          <cell r="C430" t="str">
            <v xml:space="preserve">ATTACHED SHEET                                    </v>
          </cell>
          <cell r="D430" t="str">
            <v xml:space="preserve">                  </v>
          </cell>
        </row>
        <row r="431">
          <cell r="B431" t="str">
            <v xml:space="preserve">MINI ENVIRONMENT SYSTEM/0134                      </v>
          </cell>
          <cell r="C431" t="str">
            <v xml:space="preserve">ATTACHED SHEET                                    </v>
          </cell>
          <cell r="D431" t="str">
            <v xml:space="preserve">                  </v>
          </cell>
        </row>
        <row r="432">
          <cell r="B432" t="str">
            <v xml:space="preserve">MICROSCOPE(70%)/134                               </v>
          </cell>
          <cell r="C432" t="str">
            <v xml:space="preserve">POLYVAR-SC                                        </v>
          </cell>
          <cell r="D432">
            <v>419021</v>
          </cell>
        </row>
        <row r="433">
          <cell r="B433" t="str">
            <v xml:space="preserve">OPTICAL EMISSION SPECTROSCOPY/0134                </v>
          </cell>
          <cell r="C433" t="str">
            <v xml:space="preserve">DGSEM 350-3                                       </v>
          </cell>
          <cell r="D433" t="str">
            <v xml:space="preserve">                  </v>
          </cell>
        </row>
        <row r="434">
          <cell r="B434" t="str">
            <v xml:space="preserve">GAS CABINET(DDCS-01)                              </v>
          </cell>
          <cell r="C434" t="str">
            <v xml:space="preserve">COMMON                                            </v>
          </cell>
          <cell r="D434" t="str">
            <v xml:space="preserve">                  </v>
          </cell>
        </row>
        <row r="435">
          <cell r="B435" t="str">
            <v xml:space="preserve">PUMP                                              </v>
          </cell>
          <cell r="C435" t="str">
            <v xml:space="preserve">W/STD ACC'Y                                       </v>
          </cell>
          <cell r="D435" t="str">
            <v xml:space="preserve">                  </v>
          </cell>
        </row>
        <row r="436">
          <cell r="B436" t="str">
            <v xml:space="preserve">PURE WATER REATING UNIT                           </v>
          </cell>
          <cell r="C436" t="str">
            <v xml:space="preserve">PWH-9620/AC 48                                    </v>
          </cell>
          <cell r="D436" t="str">
            <v xml:space="preserve">                  </v>
          </cell>
        </row>
        <row r="437">
          <cell r="B437" t="str">
            <v xml:space="preserve">PVD SYSTEM                                        </v>
          </cell>
          <cell r="C437" t="str">
            <v xml:space="preserve">SYS55-HP                                          </v>
          </cell>
          <cell r="D437" t="str">
            <v xml:space="preserve">                  </v>
          </cell>
        </row>
        <row r="438">
          <cell r="B438" t="str">
            <v xml:space="preserve">TESTER(LOGIC)/10%                                 </v>
          </cell>
          <cell r="C438" t="str">
            <v xml:space="preserve">ITS 9000MX                                        </v>
          </cell>
          <cell r="D438">
            <v>48137</v>
          </cell>
        </row>
        <row r="439">
          <cell r="B439" t="str">
            <v xml:space="preserve">Ozone DI Water System                             </v>
          </cell>
          <cell r="C439" t="str">
            <v xml:space="preserve">WE-32W-1001                                       </v>
          </cell>
          <cell r="D439" t="str">
            <v xml:space="preserve">                  </v>
          </cell>
        </row>
        <row r="440">
          <cell r="B440" t="str">
            <v xml:space="preserve">Multistage Dry Pumps                              </v>
          </cell>
          <cell r="C440" t="str">
            <v xml:space="preserve">40x20 ERD5M                                       </v>
          </cell>
          <cell r="D440" t="str">
            <v xml:space="preserve">                  </v>
          </cell>
        </row>
        <row r="441">
          <cell r="B441" t="str">
            <v xml:space="preserve">Dry Pump                                          </v>
          </cell>
          <cell r="C441" t="str">
            <v xml:space="preserve">ADP81                                             </v>
          </cell>
          <cell r="D441" t="str">
            <v xml:space="preserve">                  </v>
          </cell>
        </row>
        <row r="442">
          <cell r="B442" t="str">
            <v xml:space="preserve">Gas Cabinet(E54I)                                 </v>
          </cell>
          <cell r="C442">
            <v>1144519000</v>
          </cell>
          <cell r="D442" t="str">
            <v xml:space="preserve">52-52             </v>
          </cell>
        </row>
        <row r="443">
          <cell r="B443" t="str">
            <v xml:space="preserve">Gas Cabinet(E3D)                                  </v>
          </cell>
          <cell r="C443">
            <v>1144519000</v>
          </cell>
          <cell r="D443" t="str">
            <v xml:space="preserve">52-51             </v>
          </cell>
        </row>
        <row r="444">
          <cell r="B444" t="str">
            <v xml:space="preserve">Gas Cabinet(E3C)                                  </v>
          </cell>
          <cell r="C444">
            <v>1144519000</v>
          </cell>
          <cell r="D444" t="str">
            <v xml:space="preserve">52-50             </v>
          </cell>
        </row>
        <row r="445">
          <cell r="B445" t="str">
            <v xml:space="preserve">Gas Cabinet(E3B)                                  </v>
          </cell>
          <cell r="C445">
            <v>1144519000</v>
          </cell>
          <cell r="D445" t="str">
            <v xml:space="preserve">52-49             </v>
          </cell>
        </row>
        <row r="446">
          <cell r="B446" t="str">
            <v xml:space="preserve">Gas Cabinet(E3A)                                  </v>
          </cell>
          <cell r="C446">
            <v>1144519000</v>
          </cell>
          <cell r="D446" t="str">
            <v xml:space="preserve">52-48             </v>
          </cell>
        </row>
        <row r="447">
          <cell r="B447" t="str">
            <v xml:space="preserve">Gas Cabinet(E2A)                                  </v>
          </cell>
          <cell r="C447">
            <v>1144519000</v>
          </cell>
          <cell r="D447" t="str">
            <v xml:space="preserve">52-47             </v>
          </cell>
        </row>
        <row r="448">
          <cell r="B448" t="str">
            <v xml:space="preserve">Gas Cabinet(E2B)                                  </v>
          </cell>
          <cell r="C448">
            <v>1144519000</v>
          </cell>
          <cell r="D448" t="str">
            <v xml:space="preserve">52-46             </v>
          </cell>
        </row>
        <row r="449">
          <cell r="B449" t="str">
            <v xml:space="preserve">Gas Cabinet(E1A)                                  </v>
          </cell>
          <cell r="C449">
            <v>1144519000</v>
          </cell>
          <cell r="D449" t="str">
            <v xml:space="preserve">52-45             </v>
          </cell>
        </row>
        <row r="450">
          <cell r="B450" t="str">
            <v xml:space="preserve">Gas Cabinet(E1B)                                  </v>
          </cell>
          <cell r="C450">
            <v>1144519000</v>
          </cell>
          <cell r="D450" t="str">
            <v xml:space="preserve">52-44             </v>
          </cell>
        </row>
        <row r="451">
          <cell r="B451" t="str">
            <v xml:space="preserve">Gas Cabinet(E13)                                  </v>
          </cell>
          <cell r="C451">
            <v>1144519000</v>
          </cell>
          <cell r="D451" t="str">
            <v xml:space="preserve">52-43             </v>
          </cell>
        </row>
        <row r="452">
          <cell r="B452" t="str">
            <v xml:space="preserve">Gas Cabinet(E1D)                                  </v>
          </cell>
          <cell r="C452">
            <v>1144519000</v>
          </cell>
          <cell r="D452" t="str">
            <v xml:space="preserve">52-42             </v>
          </cell>
        </row>
        <row r="453">
          <cell r="B453" t="str">
            <v xml:space="preserve">Gas Cabinet(E1E)                                  </v>
          </cell>
          <cell r="C453">
            <v>1144519000</v>
          </cell>
          <cell r="D453" t="str">
            <v xml:space="preserve">52-41             </v>
          </cell>
        </row>
        <row r="454">
          <cell r="B454" t="str">
            <v xml:space="preserve">Gas Cabinet(E1F)                                  </v>
          </cell>
          <cell r="C454">
            <v>1144519000</v>
          </cell>
          <cell r="D454" t="str">
            <v xml:space="preserve">52-40             </v>
          </cell>
        </row>
        <row r="455">
          <cell r="B455" t="str">
            <v xml:space="preserve">Gas Cabinet(E1G)                                  </v>
          </cell>
          <cell r="C455">
            <v>1144519000</v>
          </cell>
          <cell r="D455" t="str">
            <v xml:space="preserve">52-39             </v>
          </cell>
        </row>
        <row r="456">
          <cell r="B456" t="str">
            <v xml:space="preserve">Gas Cabinet(E1H)                                  </v>
          </cell>
          <cell r="C456">
            <v>1144519000</v>
          </cell>
          <cell r="D456" t="str">
            <v xml:space="preserve">52-38             </v>
          </cell>
        </row>
        <row r="457">
          <cell r="B457" t="str">
            <v xml:space="preserve">Gas Cabinet(E2H)                                  </v>
          </cell>
          <cell r="C457">
            <v>1144519000</v>
          </cell>
          <cell r="D457" t="str">
            <v xml:space="preserve">52-37             </v>
          </cell>
        </row>
        <row r="458">
          <cell r="B458" t="str">
            <v xml:space="preserve">Gas Cabinet(E2F)                                  </v>
          </cell>
          <cell r="C458">
            <v>1144519000</v>
          </cell>
          <cell r="D458" t="str">
            <v xml:space="preserve">52-36             </v>
          </cell>
        </row>
        <row r="459">
          <cell r="B459" t="str">
            <v xml:space="preserve">Gas Cabinet(E2G)                                  </v>
          </cell>
          <cell r="C459">
            <v>1144519000</v>
          </cell>
          <cell r="D459" t="str">
            <v xml:space="preserve">52-35             </v>
          </cell>
        </row>
        <row r="460">
          <cell r="B460" t="str">
            <v xml:space="preserve">Gas Cabinet(E2E)                                  </v>
          </cell>
          <cell r="C460">
            <v>1144519000</v>
          </cell>
          <cell r="D460" t="str">
            <v xml:space="preserve">52-34             </v>
          </cell>
        </row>
        <row r="461">
          <cell r="B461" t="str">
            <v xml:space="preserve">Gas Cabinet(E2D)                                  </v>
          </cell>
          <cell r="C461">
            <v>1144519000</v>
          </cell>
          <cell r="D461" t="str">
            <v xml:space="preserve">52-33             </v>
          </cell>
        </row>
        <row r="462">
          <cell r="B462" t="str">
            <v xml:space="preserve">Gas Cabinet(E8F)                                  </v>
          </cell>
          <cell r="C462">
            <v>1144519000</v>
          </cell>
          <cell r="D462" t="str">
            <v xml:space="preserve">52-32             </v>
          </cell>
        </row>
        <row r="463">
          <cell r="B463" t="str">
            <v xml:space="preserve">Gas Cabinet(AGMS)                                 </v>
          </cell>
          <cell r="C463">
            <v>1144519000</v>
          </cell>
          <cell r="D463" t="str">
            <v xml:space="preserve">52-31             </v>
          </cell>
        </row>
        <row r="464">
          <cell r="B464" t="str">
            <v xml:space="preserve">Gas Cabinet(E2C)                                  </v>
          </cell>
          <cell r="C464">
            <v>1144519000</v>
          </cell>
          <cell r="D464" t="str">
            <v xml:space="preserve">52-30             </v>
          </cell>
        </row>
        <row r="465">
          <cell r="B465" t="str">
            <v xml:space="preserve">Gas Cabinet(E8E)                                  </v>
          </cell>
          <cell r="C465">
            <v>1144519000</v>
          </cell>
          <cell r="D465" t="str">
            <v xml:space="preserve">52-29             </v>
          </cell>
        </row>
        <row r="466">
          <cell r="B466" t="str">
            <v xml:space="preserve">Gas Cabinet(E7J)                                  </v>
          </cell>
          <cell r="C466">
            <v>1144519000</v>
          </cell>
          <cell r="D466" t="str">
            <v xml:space="preserve">52-28             </v>
          </cell>
        </row>
        <row r="467">
          <cell r="B467" t="str">
            <v xml:space="preserve">Gas Cabinet(E7A)                                  </v>
          </cell>
          <cell r="C467">
            <v>1144519000</v>
          </cell>
          <cell r="D467" t="str">
            <v xml:space="preserve">52-27             </v>
          </cell>
        </row>
        <row r="468">
          <cell r="B468" t="str">
            <v xml:space="preserve">Gas Cabinet(E5B)                                  </v>
          </cell>
          <cell r="C468">
            <v>1144519000</v>
          </cell>
          <cell r="D468" t="str">
            <v xml:space="preserve">52-26             </v>
          </cell>
        </row>
        <row r="469">
          <cell r="B469" t="str">
            <v xml:space="preserve">Gas Cabinet(E2K)                                  </v>
          </cell>
          <cell r="C469">
            <v>1144519000</v>
          </cell>
          <cell r="D469" t="str">
            <v xml:space="preserve">52-25             </v>
          </cell>
        </row>
        <row r="470">
          <cell r="B470" t="str">
            <v xml:space="preserve">Gas Cabinet(E3J)                                  </v>
          </cell>
          <cell r="C470">
            <v>1144519000</v>
          </cell>
          <cell r="D470" t="str">
            <v xml:space="preserve">52-24             </v>
          </cell>
        </row>
        <row r="471">
          <cell r="B471" t="str">
            <v xml:space="preserve">Gas Cabinet(E6A)                                  </v>
          </cell>
          <cell r="C471">
            <v>1144519000</v>
          </cell>
          <cell r="D471" t="str">
            <v xml:space="preserve">52-23             </v>
          </cell>
        </row>
        <row r="472">
          <cell r="B472" t="str">
            <v xml:space="preserve">Gas Cabinet(E6B)                                  </v>
          </cell>
          <cell r="C472">
            <v>1144519000</v>
          </cell>
          <cell r="D472" t="str">
            <v xml:space="preserve">52-22             </v>
          </cell>
        </row>
        <row r="473">
          <cell r="B473" t="str">
            <v xml:space="preserve">Gas Cabinet(E6C)                                  </v>
          </cell>
          <cell r="C473">
            <v>1144519000</v>
          </cell>
          <cell r="D473" t="str">
            <v xml:space="preserve">52-21             </v>
          </cell>
        </row>
        <row r="474">
          <cell r="B474" t="str">
            <v xml:space="preserve">Gas Cabinet(E6D)                                  </v>
          </cell>
          <cell r="C474">
            <v>1144519000</v>
          </cell>
          <cell r="D474" t="str">
            <v xml:space="preserve">52-20             </v>
          </cell>
        </row>
        <row r="475">
          <cell r="B475" t="str">
            <v xml:space="preserve">Gas Cabinet(E6E)                                  </v>
          </cell>
          <cell r="C475">
            <v>1144519000</v>
          </cell>
          <cell r="D475" t="str">
            <v xml:space="preserve">52-19             </v>
          </cell>
        </row>
        <row r="476">
          <cell r="B476" t="str">
            <v xml:space="preserve">Gas Cabinet(E6F)                                  </v>
          </cell>
          <cell r="C476">
            <v>1144519000</v>
          </cell>
          <cell r="D476" t="str">
            <v xml:space="preserve">52-18             </v>
          </cell>
        </row>
        <row r="477">
          <cell r="B477" t="str">
            <v xml:space="preserve">Gas Cabinet(E6G)                                  </v>
          </cell>
          <cell r="C477">
            <v>1144519000</v>
          </cell>
          <cell r="D477" t="str">
            <v xml:space="preserve">52-17             </v>
          </cell>
        </row>
        <row r="478">
          <cell r="B478" t="str">
            <v xml:space="preserve">Gas Cabinet(E7H)                                  </v>
          </cell>
          <cell r="C478">
            <v>1144519000</v>
          </cell>
          <cell r="D478" t="str">
            <v xml:space="preserve">52-16             </v>
          </cell>
        </row>
        <row r="479">
          <cell r="B479" t="str">
            <v xml:space="preserve">Gas Cabinet(E7I)                                  </v>
          </cell>
          <cell r="C479">
            <v>1144519000</v>
          </cell>
          <cell r="D479" t="str">
            <v xml:space="preserve">52-15             </v>
          </cell>
        </row>
        <row r="480">
          <cell r="B480" t="str">
            <v xml:space="preserve">Gas Cabinet(E7G)                                  </v>
          </cell>
          <cell r="C480">
            <v>1144519000</v>
          </cell>
          <cell r="D480" t="str">
            <v xml:space="preserve">52-14             </v>
          </cell>
        </row>
        <row r="481">
          <cell r="B481" t="str">
            <v xml:space="preserve">Gas Cabinet(E7F)                                  </v>
          </cell>
          <cell r="C481">
            <v>1144519000</v>
          </cell>
          <cell r="D481" t="str">
            <v xml:space="preserve">52-13             </v>
          </cell>
        </row>
        <row r="482">
          <cell r="B482" t="str">
            <v xml:space="preserve">Gas Cabinet(E7E)                                  </v>
          </cell>
          <cell r="C482">
            <v>1144519000</v>
          </cell>
          <cell r="D482">
            <v>19329</v>
          </cell>
        </row>
        <row r="483">
          <cell r="B483" t="str">
            <v xml:space="preserve">Gas Cabinet(E7D)                                  </v>
          </cell>
          <cell r="C483">
            <v>1144519000</v>
          </cell>
          <cell r="D483">
            <v>19299</v>
          </cell>
        </row>
        <row r="484">
          <cell r="B484" t="str">
            <v xml:space="preserve">Gas Cabinet(E7C)                                  </v>
          </cell>
          <cell r="C484">
            <v>1144519000</v>
          </cell>
          <cell r="D484">
            <v>19268</v>
          </cell>
        </row>
        <row r="485">
          <cell r="B485" t="str">
            <v xml:space="preserve">Gas Cabinet(E7B)                                  </v>
          </cell>
          <cell r="C485">
            <v>1144519000</v>
          </cell>
          <cell r="D485">
            <v>19238</v>
          </cell>
        </row>
        <row r="486">
          <cell r="B486" t="str">
            <v xml:space="preserve">Gas Cabinet(E3F)                                  </v>
          </cell>
          <cell r="C486">
            <v>1144519000</v>
          </cell>
          <cell r="D486">
            <v>19207</v>
          </cell>
        </row>
        <row r="487">
          <cell r="B487" t="str">
            <v xml:space="preserve">Gas Cabinet(E8D)                                  </v>
          </cell>
          <cell r="C487">
            <v>1144519000</v>
          </cell>
          <cell r="D487">
            <v>19176</v>
          </cell>
        </row>
        <row r="488">
          <cell r="B488" t="str">
            <v xml:space="preserve">Gas Cabinet(E8C)                                  </v>
          </cell>
          <cell r="C488">
            <v>1144519000</v>
          </cell>
          <cell r="D488">
            <v>19146</v>
          </cell>
        </row>
        <row r="489">
          <cell r="B489" t="str">
            <v xml:space="preserve">Gas Cabinet(E8B)                                  </v>
          </cell>
          <cell r="C489">
            <v>1144519000</v>
          </cell>
          <cell r="D489">
            <v>19115</v>
          </cell>
        </row>
        <row r="490">
          <cell r="B490" t="str">
            <v xml:space="preserve">Gas Cabinet(E8A)                                  </v>
          </cell>
          <cell r="C490">
            <v>1144519000</v>
          </cell>
          <cell r="D490">
            <v>19085</v>
          </cell>
        </row>
        <row r="491">
          <cell r="B491" t="str">
            <v xml:space="preserve">Gas Cabinet(E3G)                                  </v>
          </cell>
          <cell r="C491">
            <v>1144519000</v>
          </cell>
          <cell r="D491">
            <v>19054</v>
          </cell>
        </row>
        <row r="492">
          <cell r="B492" t="str">
            <v xml:space="preserve">Gas Cabinet(E3H)                                  </v>
          </cell>
          <cell r="C492">
            <v>1144519000</v>
          </cell>
          <cell r="D492">
            <v>19025</v>
          </cell>
        </row>
        <row r="493">
          <cell r="B493" t="str">
            <v xml:space="preserve">Gas Cabinet(E3I)                                  </v>
          </cell>
          <cell r="C493">
            <v>1144519000</v>
          </cell>
          <cell r="D493">
            <v>18994</v>
          </cell>
        </row>
        <row r="494">
          <cell r="B494" t="str">
            <v xml:space="preserve">Cas Cabinet(유휴)                                 </v>
          </cell>
          <cell r="C494">
            <v>855000000</v>
          </cell>
          <cell r="D494" t="str">
            <v xml:space="preserve">35-35             </v>
          </cell>
        </row>
        <row r="495">
          <cell r="B495" t="str">
            <v xml:space="preserve">Cas Cabinet(DDCS-03)                              </v>
          </cell>
          <cell r="C495">
            <v>855000000</v>
          </cell>
          <cell r="D495" t="str">
            <v xml:space="preserve">35-34             </v>
          </cell>
        </row>
        <row r="496">
          <cell r="B496" t="str">
            <v xml:space="preserve">Cas Cabinet(유휴)                                 </v>
          </cell>
          <cell r="C496">
            <v>855000000</v>
          </cell>
          <cell r="D496" t="str">
            <v xml:space="preserve">35-33             </v>
          </cell>
        </row>
        <row r="497">
          <cell r="B497" t="str">
            <v xml:space="preserve">Cas Cabinet(유휴)                                 </v>
          </cell>
          <cell r="C497">
            <v>855000000</v>
          </cell>
          <cell r="D497" t="str">
            <v xml:space="preserve">35-32             </v>
          </cell>
        </row>
        <row r="498">
          <cell r="B498" t="str">
            <v xml:space="preserve">Cas Cabinet(유휴)                                 </v>
          </cell>
          <cell r="C498">
            <v>855000000</v>
          </cell>
          <cell r="D498" t="str">
            <v xml:space="preserve">35-31             </v>
          </cell>
        </row>
        <row r="499">
          <cell r="B499" t="str">
            <v xml:space="preserve">Cas Cabinet(유휴)                                 </v>
          </cell>
          <cell r="C499">
            <v>855000000</v>
          </cell>
          <cell r="D499" t="str">
            <v xml:space="preserve">35-30             </v>
          </cell>
        </row>
        <row r="500">
          <cell r="B500" t="str">
            <v xml:space="preserve">Cas Cabinet(유휴)                                 </v>
          </cell>
          <cell r="C500">
            <v>855000000</v>
          </cell>
          <cell r="D500" t="str">
            <v xml:space="preserve">35-29             </v>
          </cell>
        </row>
        <row r="501">
          <cell r="B501" t="str">
            <v xml:space="preserve">Cas Cabinet(유휴)                                 </v>
          </cell>
          <cell r="C501">
            <v>855000000</v>
          </cell>
          <cell r="D501" t="str">
            <v xml:space="preserve">35-28             </v>
          </cell>
        </row>
        <row r="502">
          <cell r="B502" t="str">
            <v xml:space="preserve">Cas Cabinet(유휴)                                 </v>
          </cell>
          <cell r="C502">
            <v>855000000</v>
          </cell>
          <cell r="D502" t="str">
            <v xml:space="preserve">35-27             </v>
          </cell>
        </row>
        <row r="503">
          <cell r="B503" t="str">
            <v xml:space="preserve">Cas Cabinet(유휴)                                 </v>
          </cell>
          <cell r="C503">
            <v>855000000</v>
          </cell>
          <cell r="D503" t="str">
            <v xml:space="preserve">35-26             </v>
          </cell>
        </row>
        <row r="504">
          <cell r="B504" t="str">
            <v xml:space="preserve">Cas Cabinet(유휴)                                 </v>
          </cell>
          <cell r="C504">
            <v>855000000</v>
          </cell>
          <cell r="D504" t="str">
            <v xml:space="preserve">35-25             </v>
          </cell>
        </row>
        <row r="505">
          <cell r="B505" t="str">
            <v xml:space="preserve">Cas Cabinet(유휴)                                 </v>
          </cell>
          <cell r="C505">
            <v>855000000</v>
          </cell>
          <cell r="D505" t="str">
            <v xml:space="preserve">35-24             </v>
          </cell>
        </row>
        <row r="506">
          <cell r="B506" t="str">
            <v xml:space="preserve">Cas Cabinet(TRS2)                                 </v>
          </cell>
          <cell r="C506">
            <v>855000000</v>
          </cell>
          <cell r="D506" t="str">
            <v xml:space="preserve">35-23             </v>
          </cell>
        </row>
        <row r="507">
          <cell r="B507" t="str">
            <v xml:space="preserve">Cas Cabinet(TRS1)                                 </v>
          </cell>
          <cell r="C507">
            <v>855000000</v>
          </cell>
          <cell r="D507" t="str">
            <v xml:space="preserve">35-22             </v>
          </cell>
        </row>
        <row r="508">
          <cell r="B508" t="str">
            <v xml:space="preserve">Cas Cabinet(유휴)                                 </v>
          </cell>
          <cell r="C508">
            <v>855000000</v>
          </cell>
          <cell r="D508" t="str">
            <v xml:space="preserve">35-21             </v>
          </cell>
        </row>
        <row r="509">
          <cell r="B509" t="str">
            <v xml:space="preserve">Cas Cabinet(TS8)                                  </v>
          </cell>
          <cell r="C509">
            <v>855000000</v>
          </cell>
          <cell r="D509" t="str">
            <v xml:space="preserve">35-20             </v>
          </cell>
        </row>
        <row r="510">
          <cell r="B510" t="str">
            <v xml:space="preserve">Cas Cabinet(유휴)                                 </v>
          </cell>
          <cell r="C510">
            <v>855000000</v>
          </cell>
          <cell r="D510" t="str">
            <v xml:space="preserve">35-19             </v>
          </cell>
        </row>
        <row r="511">
          <cell r="B511" t="str">
            <v xml:space="preserve">Cas Cabinet(유휴)                                 </v>
          </cell>
          <cell r="C511">
            <v>855000000</v>
          </cell>
          <cell r="D511" t="str">
            <v xml:space="preserve">35-18             </v>
          </cell>
        </row>
        <row r="512">
          <cell r="B512" t="str">
            <v xml:space="preserve">Cas Cabinet(TS7)                                  </v>
          </cell>
          <cell r="C512">
            <v>855000000</v>
          </cell>
          <cell r="D512" t="str">
            <v xml:space="preserve">35-17             </v>
          </cell>
        </row>
        <row r="513">
          <cell r="B513" t="str">
            <v xml:space="preserve">Cas Cabinet(TS6)                                  </v>
          </cell>
          <cell r="C513">
            <v>855000000</v>
          </cell>
          <cell r="D513" t="str">
            <v xml:space="preserve">35-16             </v>
          </cell>
        </row>
        <row r="514">
          <cell r="B514" t="str">
            <v xml:space="preserve">Cas Cabinet(TS5)                                  </v>
          </cell>
          <cell r="C514">
            <v>855000000</v>
          </cell>
          <cell r="D514" t="str">
            <v xml:space="preserve">35-15             </v>
          </cell>
        </row>
        <row r="515">
          <cell r="B515" t="str">
            <v xml:space="preserve">Cas Cabinet(TS4)                                  </v>
          </cell>
          <cell r="C515">
            <v>855000000</v>
          </cell>
          <cell r="D515" t="str">
            <v xml:space="preserve">35-14             </v>
          </cell>
        </row>
        <row r="516">
          <cell r="B516" t="str">
            <v xml:space="preserve">Cas Cabinet(TS3)                                  </v>
          </cell>
          <cell r="C516">
            <v>855000000</v>
          </cell>
          <cell r="D516">
            <v>13089</v>
          </cell>
        </row>
        <row r="517">
          <cell r="B517" t="str">
            <v xml:space="preserve">Cas Cabinet(TS2)                                  </v>
          </cell>
          <cell r="C517">
            <v>855000000</v>
          </cell>
          <cell r="D517">
            <v>13028</v>
          </cell>
        </row>
        <row r="518">
          <cell r="B518" t="str">
            <v xml:space="preserve">Cas Cabinet(TS1)                                  </v>
          </cell>
          <cell r="C518">
            <v>855000000</v>
          </cell>
          <cell r="D518">
            <v>12997</v>
          </cell>
        </row>
        <row r="519">
          <cell r="B519" t="str">
            <v xml:space="preserve">Cas Cabinet(DSIH4-03)                             </v>
          </cell>
          <cell r="C519">
            <v>855000000</v>
          </cell>
          <cell r="D519">
            <v>12966</v>
          </cell>
        </row>
        <row r="520">
          <cell r="B520" t="str">
            <v xml:space="preserve">Cas Cabinet(DSIH4-01)                             </v>
          </cell>
          <cell r="C520">
            <v>855000000</v>
          </cell>
          <cell r="D520">
            <v>12936</v>
          </cell>
        </row>
        <row r="521">
          <cell r="B521" t="str">
            <v xml:space="preserve">Cas Cabinet(DSIH4-05)                             </v>
          </cell>
          <cell r="C521">
            <v>855000000</v>
          </cell>
          <cell r="D521">
            <v>12905</v>
          </cell>
        </row>
        <row r="522">
          <cell r="B522" t="str">
            <v xml:space="preserve">Cas Cabinet(DNH3-01)                              </v>
          </cell>
          <cell r="C522">
            <v>855000000</v>
          </cell>
          <cell r="D522">
            <v>12875</v>
          </cell>
        </row>
        <row r="523">
          <cell r="B523" t="str">
            <v xml:space="preserve">Cas Cabinet(DSIH4-02)                             </v>
          </cell>
          <cell r="C523">
            <v>855000000</v>
          </cell>
          <cell r="D523">
            <v>12844</v>
          </cell>
        </row>
        <row r="524">
          <cell r="B524" t="str">
            <v xml:space="preserve">Cas Cabinet(DSIH4-04)                             </v>
          </cell>
          <cell r="C524">
            <v>855000000</v>
          </cell>
          <cell r="D524">
            <v>12816</v>
          </cell>
        </row>
        <row r="525">
          <cell r="B525" t="str">
            <v xml:space="preserve">Cas Cabinet(DSIH4-06)                             </v>
          </cell>
          <cell r="C525">
            <v>855000000</v>
          </cell>
          <cell r="D525">
            <v>12785</v>
          </cell>
        </row>
        <row r="526">
          <cell r="B526" t="str">
            <v xml:space="preserve">Thinner System                                    </v>
          </cell>
          <cell r="C526">
            <v>295000000</v>
          </cell>
          <cell r="D526" t="str">
            <v xml:space="preserve">17-17             </v>
          </cell>
        </row>
        <row r="527">
          <cell r="B527" t="str">
            <v xml:space="preserve">Thinner System                                    </v>
          </cell>
          <cell r="C527">
            <v>295000000</v>
          </cell>
          <cell r="D527" t="str">
            <v xml:space="preserve">17-16             </v>
          </cell>
        </row>
        <row r="528">
          <cell r="B528" t="str">
            <v xml:space="preserve">Thinner System                                    </v>
          </cell>
          <cell r="C528">
            <v>295000000</v>
          </cell>
          <cell r="D528" t="str">
            <v xml:space="preserve">17-14             </v>
          </cell>
        </row>
        <row r="529">
          <cell r="B529" t="str">
            <v xml:space="preserve">Thinner System                                    </v>
          </cell>
          <cell r="C529">
            <v>295000000</v>
          </cell>
          <cell r="D529" t="str">
            <v xml:space="preserve">17-13             </v>
          </cell>
        </row>
        <row r="530">
          <cell r="B530" t="str">
            <v xml:space="preserve">Thinner System                                    </v>
          </cell>
          <cell r="C530">
            <v>295000000</v>
          </cell>
          <cell r="D530">
            <v>36877</v>
          </cell>
        </row>
        <row r="531">
          <cell r="B531" t="str">
            <v xml:space="preserve">Thinner System                                    </v>
          </cell>
          <cell r="C531">
            <v>295000000</v>
          </cell>
          <cell r="D531">
            <v>36847</v>
          </cell>
        </row>
        <row r="532">
          <cell r="B532" t="str">
            <v xml:space="preserve">Thinner System                                    </v>
          </cell>
          <cell r="C532">
            <v>295000000</v>
          </cell>
          <cell r="D532">
            <v>36816</v>
          </cell>
        </row>
        <row r="533">
          <cell r="B533" t="str">
            <v xml:space="preserve">Thinner System                                    </v>
          </cell>
          <cell r="C533">
            <v>295000000</v>
          </cell>
          <cell r="D533">
            <v>36786</v>
          </cell>
        </row>
        <row r="534">
          <cell r="B534" t="str">
            <v xml:space="preserve">Tube Washer                                       </v>
          </cell>
          <cell r="C534">
            <v>105000000</v>
          </cell>
          <cell r="D534" t="str">
            <v xml:space="preserve">UNTC-950007-HD    </v>
          </cell>
        </row>
        <row r="535">
          <cell r="B535" t="str">
            <v xml:space="preserve">Gas Jungle Box                                    </v>
          </cell>
          <cell r="C535">
            <v>170000000</v>
          </cell>
          <cell r="D535">
            <v>36714</v>
          </cell>
        </row>
        <row r="536">
          <cell r="B536" t="str">
            <v xml:space="preserve">Gas Jungle Box                                    </v>
          </cell>
          <cell r="C536">
            <v>170000000</v>
          </cell>
          <cell r="D536">
            <v>36713</v>
          </cell>
        </row>
        <row r="537">
          <cell r="B537" t="str">
            <v xml:space="preserve">Gas Jungle Box                                    </v>
          </cell>
          <cell r="C537">
            <v>170000000</v>
          </cell>
          <cell r="D537">
            <v>36712</v>
          </cell>
        </row>
        <row r="538">
          <cell r="B538" t="str">
            <v xml:space="preserve">Gas Jungle Box                                    </v>
          </cell>
          <cell r="C538">
            <v>170000000</v>
          </cell>
          <cell r="D538">
            <v>36711</v>
          </cell>
        </row>
        <row r="539">
          <cell r="B539" t="str">
            <v xml:space="preserve">Gas Jungle Box                                    </v>
          </cell>
          <cell r="C539">
            <v>170000000</v>
          </cell>
          <cell r="D539">
            <v>36710</v>
          </cell>
        </row>
        <row r="540">
          <cell r="B540" t="str">
            <v xml:space="preserve">Gas Jungle Box                                    </v>
          </cell>
          <cell r="C540">
            <v>170000000</v>
          </cell>
          <cell r="D540">
            <v>36709</v>
          </cell>
        </row>
        <row r="541">
          <cell r="B541" t="str">
            <v xml:space="preserve">Gas Jungle Box                                    </v>
          </cell>
          <cell r="C541">
            <v>170000000</v>
          </cell>
          <cell r="D541">
            <v>36708</v>
          </cell>
        </row>
        <row r="542">
          <cell r="B542" t="str">
            <v xml:space="preserve">KLA25E Relocation                                 </v>
          </cell>
          <cell r="C542" t="str">
            <v xml:space="preserve">COMMON                                            </v>
          </cell>
          <cell r="D542" t="str">
            <v xml:space="preserve">                  </v>
          </cell>
        </row>
        <row r="543">
          <cell r="B543" t="str">
            <v xml:space="preserve">MICROLITE PHOTO STABILIZER                        </v>
          </cell>
          <cell r="C543" t="str">
            <v xml:space="preserve">150PC                                             </v>
          </cell>
          <cell r="D543" t="str">
            <v xml:space="preserve">                  </v>
          </cell>
        </row>
        <row r="544">
          <cell r="B544" t="str">
            <v xml:space="preserve">VACCUM PUMP                                       </v>
          </cell>
          <cell r="C544" t="str">
            <v xml:space="preserve">QDP80/QMB500                                      </v>
          </cell>
          <cell r="D544" t="str">
            <v xml:space="preserve">                  </v>
          </cell>
        </row>
        <row r="545">
          <cell r="B545" t="str">
            <v xml:space="preserve">GAS CABINET/34(DNH3-04)                           </v>
          </cell>
          <cell r="C545" t="str">
            <v xml:space="preserve">L9A950102                                         </v>
          </cell>
          <cell r="D545" t="str">
            <v xml:space="preserve">                  </v>
          </cell>
        </row>
        <row r="546">
          <cell r="B546" t="str">
            <v xml:space="preserve">GAS CABINET/34(DNH3-03)                           </v>
          </cell>
          <cell r="C546" t="str">
            <v xml:space="preserve">L9A950101                                         </v>
          </cell>
          <cell r="D546" t="str">
            <v xml:space="preserve">                  </v>
          </cell>
        </row>
        <row r="547">
          <cell r="B547" t="str">
            <v xml:space="preserve">GAS CABINET/34(DNH3-02)                           </v>
          </cell>
          <cell r="C547" t="str">
            <v xml:space="preserve">L9A950100                                         </v>
          </cell>
          <cell r="D547" t="str">
            <v xml:space="preserve">                  </v>
          </cell>
        </row>
        <row r="548">
          <cell r="B548" t="str">
            <v xml:space="preserve">GAS MONITORING SYSTEM                             </v>
          </cell>
          <cell r="C548" t="str">
            <v xml:space="preserve">COMMON                                            </v>
          </cell>
          <cell r="D548" t="str">
            <v xml:space="preserve">                  </v>
          </cell>
        </row>
        <row r="549">
          <cell r="B549" t="str">
            <v xml:space="preserve">GAS CABINET(유휴)(ERE11)                          </v>
          </cell>
          <cell r="C549" t="str">
            <v xml:space="preserve">CL2,CL2                                         </v>
          </cell>
          <cell r="D549" t="str">
            <v xml:space="preserve">KCT9708-007       </v>
          </cell>
        </row>
        <row r="550">
          <cell r="B550" t="str">
            <v xml:space="preserve">GAS CABINET(유휴)(RER19)                          </v>
          </cell>
          <cell r="C550" t="str">
            <v xml:space="preserve">SF6,SF6                                         </v>
          </cell>
          <cell r="D550" t="str">
            <v xml:space="preserve">KCT9708-008       </v>
          </cell>
        </row>
        <row r="551">
          <cell r="B551" t="str">
            <v xml:space="preserve">GAS CABINET(유휴)(ERE02)                          </v>
          </cell>
          <cell r="C551" t="str">
            <v xml:space="preserve">HBr,HBr                                         </v>
          </cell>
          <cell r="D551" t="str">
            <v xml:space="preserve">KCT9706-005       </v>
          </cell>
        </row>
        <row r="552">
          <cell r="B552" t="str">
            <v xml:space="preserve">GAS CABINET(유휴)(ERE18)                          </v>
          </cell>
          <cell r="C552" t="str">
            <v xml:space="preserve">N2O,NH3                                         </v>
          </cell>
          <cell r="D552" t="str">
            <v xml:space="preserve">KCT9706-006       </v>
          </cell>
        </row>
        <row r="553">
          <cell r="B553" t="str">
            <v xml:space="preserve">MINI ENVIROMENT                                   </v>
          </cell>
          <cell r="C553" t="str">
            <v xml:space="preserve">CLASS 1                                           </v>
          </cell>
          <cell r="D553" t="str">
            <v xml:space="preserve">                  </v>
          </cell>
        </row>
        <row r="554">
          <cell r="B554" t="str">
            <v xml:space="preserve">MODIFY KIT                                        </v>
          </cell>
          <cell r="C554" t="str">
            <v xml:space="preserve">UTS2244I                                          </v>
          </cell>
          <cell r="D554" t="str">
            <v xml:space="preserve">L9A951346         </v>
          </cell>
        </row>
        <row r="555">
          <cell r="B555" t="str">
            <v xml:space="preserve">DRY PUMP                                          </v>
          </cell>
          <cell r="C555" t="str">
            <v xml:space="preserve">STP-H2000C                                        </v>
          </cell>
          <cell r="D555" t="str">
            <v xml:space="preserve">L9D950037         </v>
          </cell>
        </row>
        <row r="556">
          <cell r="B556" t="str">
            <v xml:space="preserve">RETICLE STOCKER                                   </v>
          </cell>
          <cell r="C556" t="str">
            <v xml:space="preserve">SYSTEM I.C                                        </v>
          </cell>
          <cell r="D556" t="str">
            <v xml:space="preserve">                  </v>
          </cell>
        </row>
        <row r="557">
          <cell r="B557" t="str">
            <v xml:space="preserve">RETICLE STOCKER                                   </v>
          </cell>
          <cell r="C557" t="str">
            <v xml:space="preserve">SYSTEM I.C                                        </v>
          </cell>
          <cell r="D557" t="str">
            <v xml:space="preserve">                  </v>
          </cell>
        </row>
        <row r="558">
          <cell r="B558" t="str">
            <v xml:space="preserve">RETICLE STOCKER                                   </v>
          </cell>
          <cell r="C558" t="str">
            <v xml:space="preserve">SYSTEM I.C                                        </v>
          </cell>
          <cell r="D558" t="str">
            <v xml:space="preserve">                  </v>
          </cell>
        </row>
        <row r="559">
          <cell r="B559" t="str">
            <v xml:space="preserve">GAS CABINET(AGMS)                                 </v>
          </cell>
          <cell r="C559" t="str">
            <v xml:space="preserve">FAB3-DLM                                          </v>
          </cell>
          <cell r="D559" t="str">
            <v xml:space="preserve">21-21             </v>
          </cell>
        </row>
        <row r="560">
          <cell r="B560" t="str">
            <v xml:space="preserve">GAS CABINET(E3N)                                  </v>
          </cell>
          <cell r="C560" t="str">
            <v xml:space="preserve">FAB3-DLM                                          </v>
          </cell>
          <cell r="D560" t="str">
            <v xml:space="preserve">21-20             </v>
          </cell>
        </row>
        <row r="561">
          <cell r="B561" t="str">
            <v xml:space="preserve">GAS CABINET(E7L)                                  </v>
          </cell>
          <cell r="C561" t="str">
            <v xml:space="preserve">FAB3-DLM                                          </v>
          </cell>
          <cell r="D561" t="str">
            <v xml:space="preserve">21-19             </v>
          </cell>
        </row>
        <row r="562">
          <cell r="B562" t="str">
            <v xml:space="preserve">GAS CABINET(E7M)                                  </v>
          </cell>
          <cell r="C562" t="str">
            <v xml:space="preserve">FAB3-DLM                                          </v>
          </cell>
          <cell r="D562" t="str">
            <v xml:space="preserve">21-18             </v>
          </cell>
        </row>
        <row r="563">
          <cell r="B563" t="str">
            <v xml:space="preserve">GAS CABINET(E7N)                                  </v>
          </cell>
          <cell r="C563" t="str">
            <v xml:space="preserve">FAB3-DLM                                          </v>
          </cell>
          <cell r="D563" t="str">
            <v xml:space="preserve">21-17             </v>
          </cell>
        </row>
        <row r="564">
          <cell r="B564" t="str">
            <v xml:space="preserve">GAS CABINET(E8G)                                  </v>
          </cell>
          <cell r="C564" t="str">
            <v xml:space="preserve">FAB3-DLM                                          </v>
          </cell>
          <cell r="D564" t="str">
            <v xml:space="preserve">21-16             </v>
          </cell>
        </row>
        <row r="565">
          <cell r="B565" t="str">
            <v xml:space="preserve">GAS CABINET(E7O)                                  </v>
          </cell>
          <cell r="C565" t="str">
            <v xml:space="preserve">FAB3-DLM                                          </v>
          </cell>
          <cell r="D565" t="str">
            <v xml:space="preserve">21-15             </v>
          </cell>
        </row>
        <row r="566">
          <cell r="B566" t="str">
            <v xml:space="preserve">GAS CABINET(E2J)                                  </v>
          </cell>
          <cell r="C566" t="str">
            <v xml:space="preserve">FAB3-DLM                                          </v>
          </cell>
          <cell r="D566" t="str">
            <v xml:space="preserve">21-14             </v>
          </cell>
        </row>
        <row r="567">
          <cell r="B567" t="str">
            <v xml:space="preserve">GAS CABINET(E8H)                                  </v>
          </cell>
          <cell r="C567" t="str">
            <v xml:space="preserve">FAB3-DLM                                          </v>
          </cell>
          <cell r="D567" t="str">
            <v xml:space="preserve">21-13             </v>
          </cell>
        </row>
        <row r="568">
          <cell r="B568" t="str">
            <v xml:space="preserve">GAS CABINET(유휴)(E7P)                            </v>
          </cell>
          <cell r="C568" t="str">
            <v xml:space="preserve">FAB3-DLM                                          </v>
          </cell>
          <cell r="D568">
            <v>36881</v>
          </cell>
        </row>
        <row r="569">
          <cell r="B569" t="str">
            <v xml:space="preserve">GAS CABINET(유휴)(E7Q)                            </v>
          </cell>
          <cell r="C569" t="str">
            <v xml:space="preserve">FAB3-DLM                                          </v>
          </cell>
          <cell r="D569">
            <v>36820</v>
          </cell>
        </row>
        <row r="570">
          <cell r="B570" t="str">
            <v xml:space="preserve">GAS CABINET(E2I)                                  </v>
          </cell>
          <cell r="C570" t="str">
            <v xml:space="preserve">FAB3-DLM                                          </v>
          </cell>
          <cell r="D570">
            <v>36790</v>
          </cell>
        </row>
        <row r="571">
          <cell r="B571" t="str">
            <v xml:space="preserve">GAS CABINET(E3K)                                  </v>
          </cell>
          <cell r="C571" t="str">
            <v xml:space="preserve">FAB3-DLM                                          </v>
          </cell>
          <cell r="D571">
            <v>36759</v>
          </cell>
        </row>
        <row r="572">
          <cell r="B572" t="str">
            <v xml:space="preserve">GAS CABINET(E3L)                                  </v>
          </cell>
          <cell r="C572" t="str">
            <v xml:space="preserve">FAB3-DLM                                          </v>
          </cell>
          <cell r="D572">
            <v>36728</v>
          </cell>
        </row>
        <row r="573">
          <cell r="B573" t="str">
            <v xml:space="preserve">GAS CABINET(E3M)                                  </v>
          </cell>
          <cell r="C573" t="str">
            <v xml:space="preserve">FAB3-DLM                                          </v>
          </cell>
          <cell r="D573">
            <v>36698</v>
          </cell>
        </row>
        <row r="574">
          <cell r="B574" t="str">
            <v xml:space="preserve">GAS CABINET(E7K)                                  </v>
          </cell>
          <cell r="C574" t="str">
            <v xml:space="preserve">FAB3-DLM                                          </v>
          </cell>
          <cell r="D574">
            <v>36667</v>
          </cell>
        </row>
        <row r="575">
          <cell r="B575" t="str">
            <v xml:space="preserve">GAS CABINET(E6K)                                  </v>
          </cell>
          <cell r="C575" t="str">
            <v xml:space="preserve">FAB3-DLM                                          </v>
          </cell>
          <cell r="D575">
            <v>36637</v>
          </cell>
        </row>
        <row r="576">
          <cell r="B576" t="str">
            <v xml:space="preserve">GAS CABINET(E6J)                                  </v>
          </cell>
          <cell r="C576" t="str">
            <v xml:space="preserve">FAB3-DLM                                          </v>
          </cell>
          <cell r="D576">
            <v>36606</v>
          </cell>
        </row>
        <row r="577">
          <cell r="B577" t="str">
            <v xml:space="preserve">GAS CABINET(E6I)                                  </v>
          </cell>
          <cell r="C577" t="str">
            <v xml:space="preserve">FAB3-DLM                                          </v>
          </cell>
          <cell r="D577">
            <v>36577</v>
          </cell>
        </row>
        <row r="578">
          <cell r="B578" t="str">
            <v xml:space="preserve">GAS CABINET(E6H)                                  </v>
          </cell>
          <cell r="C578" t="str">
            <v xml:space="preserve">FAB3-DLM                                          </v>
          </cell>
          <cell r="D578">
            <v>36546</v>
          </cell>
        </row>
        <row r="579">
          <cell r="B579" t="str">
            <v xml:space="preserve">PART BAKE OVEN                                    </v>
          </cell>
          <cell r="C579" t="str">
            <v xml:space="preserve">FAB3 DLM                                          </v>
          </cell>
          <cell r="D579" t="str">
            <v xml:space="preserve">UN02              </v>
          </cell>
        </row>
        <row r="580">
          <cell r="B580" t="str">
            <v xml:space="preserve">PART BAKE OVEN                                    </v>
          </cell>
          <cell r="C580" t="str">
            <v xml:space="preserve">FAB3 DLM                                          </v>
          </cell>
          <cell r="D580" t="str">
            <v xml:space="preserve">UN01              </v>
          </cell>
        </row>
        <row r="581">
          <cell r="B581" t="str">
            <v xml:space="preserve">ANALYTICAL PROBE STATION/40                       </v>
          </cell>
          <cell r="C581" t="str">
            <v xml:space="preserve">COMMON                                            </v>
          </cell>
          <cell r="D581" t="str">
            <v xml:space="preserve">                  </v>
          </cell>
        </row>
        <row r="582">
          <cell r="B582" t="str">
            <v xml:space="preserve">DRY VACCUM PUMP/40                                </v>
          </cell>
          <cell r="C582" t="str">
            <v xml:space="preserve">COMMON                                            </v>
          </cell>
          <cell r="D582" t="str">
            <v xml:space="preserve">                  </v>
          </cell>
        </row>
        <row r="583">
          <cell r="B583" t="str">
            <v xml:space="preserve">RETICLE STOCKER                                   </v>
          </cell>
          <cell r="C583" t="str">
            <v xml:space="preserve">COMMON                                            </v>
          </cell>
          <cell r="D583" t="str">
            <v xml:space="preserve">                  </v>
          </cell>
        </row>
        <row r="584">
          <cell r="B584" t="str">
            <v xml:space="preserve">RETICLE STOCKER                                   </v>
          </cell>
          <cell r="C584" t="str">
            <v xml:space="preserve">COMMON                                            </v>
          </cell>
          <cell r="D584" t="str">
            <v xml:space="preserve">                  </v>
          </cell>
        </row>
        <row r="585">
          <cell r="B585" t="str">
            <v xml:space="preserve">PART CLEAN SINK                                   </v>
          </cell>
          <cell r="C585" t="str">
            <v xml:space="preserve">PC-02M-001                                        </v>
          </cell>
          <cell r="D585" t="str">
            <v xml:space="preserve">KCT-9701-033      </v>
          </cell>
        </row>
        <row r="586">
          <cell r="B586" t="str">
            <v xml:space="preserve">UNTILITY HOOK UP                                  </v>
          </cell>
          <cell r="C586" t="str">
            <v xml:space="preserve">COMMON                                            </v>
          </cell>
          <cell r="D586" t="str">
            <v xml:space="preserve">                  </v>
          </cell>
        </row>
        <row r="587">
          <cell r="B587" t="str">
            <v xml:space="preserve">DRY PUMP                                          </v>
          </cell>
          <cell r="C587" t="str">
            <v xml:space="preserve">S/P CVD                                           </v>
          </cell>
          <cell r="D587" t="str">
            <v xml:space="preserve">L9A961654         </v>
          </cell>
        </row>
        <row r="588">
          <cell r="B588" t="str">
            <v xml:space="preserve">APEX SPC S/W                                      </v>
          </cell>
          <cell r="C588" t="str">
            <v xml:space="preserve">APEX SYSTEM                                       </v>
          </cell>
          <cell r="D588" t="str">
            <v xml:space="preserve">L9Z960044         </v>
          </cell>
        </row>
        <row r="589">
          <cell r="B589" t="str">
            <v xml:space="preserve">LOADER FOR MICROSCOPE                             </v>
          </cell>
          <cell r="C589" t="str">
            <v xml:space="preserve">COMMON                                            </v>
          </cell>
          <cell r="D589" t="str">
            <v xml:space="preserve">                  </v>
          </cell>
        </row>
        <row r="590">
          <cell r="B590" t="str">
            <v xml:space="preserve">LOADER FOR MICROSCOPE                             </v>
          </cell>
          <cell r="C590" t="str">
            <v xml:space="preserve">COMMON                                            </v>
          </cell>
          <cell r="D590" t="str">
            <v xml:space="preserve">                  </v>
          </cell>
        </row>
        <row r="591">
          <cell r="B591" t="str">
            <v xml:space="preserve">LOADER FOR MICROSCOPE                             </v>
          </cell>
          <cell r="C591" t="str">
            <v xml:space="preserve">COMMON                                            </v>
          </cell>
          <cell r="D591" t="str">
            <v xml:space="preserve">                  </v>
          </cell>
        </row>
        <row r="592">
          <cell r="B592" t="str">
            <v xml:space="preserve">MICRO SCOPE                                       </v>
          </cell>
          <cell r="C592" t="str">
            <v xml:space="preserve">COMMON                                            </v>
          </cell>
          <cell r="D592" t="str">
            <v xml:space="preserve">                  </v>
          </cell>
        </row>
        <row r="593">
          <cell r="B593" t="str">
            <v xml:space="preserve">MICRO SCOPE                                       </v>
          </cell>
          <cell r="C593" t="str">
            <v xml:space="preserve">COMMON                                            </v>
          </cell>
          <cell r="D593" t="str">
            <v xml:space="preserve">                  </v>
          </cell>
        </row>
        <row r="594">
          <cell r="B594" t="str">
            <v xml:space="preserve">MICRO SCOPE                                       </v>
          </cell>
          <cell r="C594" t="str">
            <v xml:space="preserve">COMMON                                            </v>
          </cell>
          <cell r="D594" t="str">
            <v xml:space="preserve">                  </v>
          </cell>
        </row>
        <row r="595">
          <cell r="B595" t="str">
            <v xml:space="preserve">TOXIC GAS MONITORING                              </v>
          </cell>
          <cell r="C595" t="str">
            <v xml:space="preserve">COMMON                                            </v>
          </cell>
          <cell r="D595" t="str">
            <v xml:space="preserve">                  </v>
          </cell>
        </row>
        <row r="596">
          <cell r="B596" t="str">
            <v xml:space="preserve">CLEAN BOOTH (2001.08유휴)_F3A                     </v>
          </cell>
          <cell r="C596" t="str">
            <v xml:space="preserve">3200*2800*2600                                    </v>
          </cell>
          <cell r="D596" t="str">
            <v xml:space="preserve">                  </v>
          </cell>
        </row>
        <row r="597">
          <cell r="B597" t="str">
            <v xml:space="preserve">E.P TUBE&amp;FITTING                                  </v>
          </cell>
          <cell r="C597" t="str">
            <v xml:space="preserve">316L                                              </v>
          </cell>
          <cell r="D597" t="str">
            <v xml:space="preserve">                  </v>
          </cell>
        </row>
        <row r="598">
          <cell r="B598" t="str">
            <v xml:space="preserve">REGULATOR                                         </v>
          </cell>
          <cell r="C598" t="str">
            <v xml:space="preserve">1/2"                                           </v>
          </cell>
          <cell r="D598" t="str">
            <v xml:space="preserve">                  </v>
          </cell>
        </row>
        <row r="599">
          <cell r="B599" t="str">
            <v xml:space="preserve">DRY PUMP                                          </v>
          </cell>
          <cell r="C599" t="str">
            <v xml:space="preserve">COMMON                                            </v>
          </cell>
          <cell r="D599" t="str">
            <v xml:space="preserve">                  </v>
          </cell>
        </row>
        <row r="600">
          <cell r="B600" t="str">
            <v xml:space="preserve">WAFER TRANSFER                                    </v>
          </cell>
          <cell r="C600" t="str">
            <v xml:space="preserve">UJ2-625A3                                         </v>
          </cell>
          <cell r="D600" t="str">
            <v xml:space="preserve">960911U746        </v>
          </cell>
        </row>
        <row r="601">
          <cell r="B601" t="str">
            <v xml:space="preserve">CHILLER                                           </v>
          </cell>
          <cell r="C601" t="str">
            <v xml:space="preserve">NESLAB HX-500W                                    </v>
          </cell>
          <cell r="D601" t="str">
            <v xml:space="preserve">                  </v>
          </cell>
        </row>
        <row r="602">
          <cell r="B602" t="str">
            <v xml:space="preserve">PART BAKE OVEN                                    </v>
          </cell>
          <cell r="C602" t="str">
            <v xml:space="preserve">COMMON                                            </v>
          </cell>
          <cell r="D602" t="str">
            <v xml:space="preserve">                  </v>
          </cell>
        </row>
        <row r="603">
          <cell r="B603" t="str">
            <v xml:space="preserve">PART CLEAN SINK                                   </v>
          </cell>
          <cell r="C603" t="str">
            <v xml:space="preserve">COMMON                                            </v>
          </cell>
          <cell r="D603" t="str">
            <v xml:space="preserve">                  </v>
          </cell>
        </row>
        <row r="604">
          <cell r="B604" t="str">
            <v xml:space="preserve">GAS CABINET(유휴)(ERE16)                          </v>
          </cell>
          <cell r="C604" t="str">
            <v xml:space="preserve">KCT-9605-014                                      </v>
          </cell>
          <cell r="D604" t="str">
            <v xml:space="preserve">                  </v>
          </cell>
        </row>
        <row r="605">
          <cell r="B605" t="str">
            <v xml:space="preserve">GAS CABINET(유휴)(ERE15)                          </v>
          </cell>
          <cell r="C605" t="str">
            <v xml:space="preserve">KCT-9605-010                                      </v>
          </cell>
          <cell r="D605" t="str">
            <v xml:space="preserve">                  </v>
          </cell>
        </row>
        <row r="606">
          <cell r="B606" t="str">
            <v xml:space="preserve">GAS CABINET(유휴)(ERE03)                          </v>
          </cell>
          <cell r="C606" t="str">
            <v xml:space="preserve">KCT-9605-012                                      </v>
          </cell>
          <cell r="D606" t="str">
            <v xml:space="preserve">                  </v>
          </cell>
        </row>
        <row r="607">
          <cell r="B607" t="str">
            <v xml:space="preserve">GAS CABINET(유휴)(ERE08)                          </v>
          </cell>
          <cell r="C607" t="str">
            <v xml:space="preserve">KCT-9605-013                                      </v>
          </cell>
          <cell r="D607" t="str">
            <v xml:space="preserve">                  </v>
          </cell>
        </row>
        <row r="608">
          <cell r="B608" t="str">
            <v xml:space="preserve">NTISTATIC PVD PLATE                               </v>
          </cell>
          <cell r="C608" t="str">
            <v xml:space="preserve">1000*2000                                         </v>
          </cell>
          <cell r="D608" t="str">
            <v xml:space="preserve">                  </v>
          </cell>
        </row>
        <row r="609">
          <cell r="B609" t="str">
            <v xml:space="preserve">RETICLE STOCKER                                   </v>
          </cell>
          <cell r="C609" t="str">
            <v xml:space="preserve">COMMON                                            </v>
          </cell>
          <cell r="D609" t="str">
            <v xml:space="preserve">                  </v>
          </cell>
        </row>
        <row r="610">
          <cell r="B610" t="str">
            <v xml:space="preserve">RETICLE STOCKER                                   </v>
          </cell>
          <cell r="C610" t="str">
            <v xml:space="preserve">COMMON                                            </v>
          </cell>
          <cell r="D610" t="str">
            <v xml:space="preserve">                  </v>
          </cell>
        </row>
        <row r="611">
          <cell r="B611" t="str">
            <v xml:space="preserve">RETICLE STOCKER                                   </v>
          </cell>
          <cell r="C611" t="str">
            <v xml:space="preserve">COMMON                                            </v>
          </cell>
          <cell r="D611" t="str">
            <v xml:space="preserve">                  </v>
          </cell>
        </row>
        <row r="612">
          <cell r="B612" t="str">
            <v xml:space="preserve">VACUUM PUMP                                       </v>
          </cell>
          <cell r="C612" t="str">
            <v xml:space="preserve">MS-1200                                           </v>
          </cell>
          <cell r="D612" t="str">
            <v xml:space="preserve">DLM FURNACE       </v>
          </cell>
        </row>
        <row r="613">
          <cell r="B613" t="str">
            <v xml:space="preserve">HELIUM LEAK DETECTOR                              </v>
          </cell>
          <cell r="C613" t="str">
            <v xml:space="preserve">COMMON                                            </v>
          </cell>
          <cell r="D613" t="str">
            <v xml:space="preserve">                  </v>
          </cell>
        </row>
        <row r="614">
          <cell r="B614" t="str">
            <v xml:space="preserve">TUBE STORAGE CABINET                              </v>
          </cell>
          <cell r="C614" t="str">
            <v xml:space="preserve">Vertical-8                                        </v>
          </cell>
          <cell r="D614" t="str">
            <v xml:space="preserve">                  </v>
          </cell>
        </row>
        <row r="615">
          <cell r="B615" t="str">
            <v xml:space="preserve">TUBE STORAGE CABINET                              </v>
          </cell>
          <cell r="C615" t="str">
            <v xml:space="preserve">Horizontal-10                                     </v>
          </cell>
          <cell r="D615" t="str">
            <v xml:space="preserve">                  </v>
          </cell>
        </row>
        <row r="616">
          <cell r="B616" t="str">
            <v xml:space="preserve">TUBE WASHER                                       </v>
          </cell>
          <cell r="C616" t="str">
            <v xml:space="preserve">VERTICAL                                          </v>
          </cell>
          <cell r="D616" t="str">
            <v xml:space="preserve">                  </v>
          </cell>
        </row>
        <row r="617">
          <cell r="B617" t="str">
            <v xml:space="preserve">DRY VACUUM PUMP                                   </v>
          </cell>
          <cell r="C617" t="str">
            <v xml:space="preserve">QDP80+QMB500                                      </v>
          </cell>
          <cell r="D617" t="str">
            <v xml:space="preserve">                  </v>
          </cell>
        </row>
        <row r="618">
          <cell r="B618" t="str">
            <v xml:space="preserve">CCTV SYSTEM                                       </v>
          </cell>
          <cell r="C618" t="str">
            <v xml:space="preserve">DLM                                               </v>
          </cell>
          <cell r="D618" t="str">
            <v xml:space="preserve">통제실            </v>
          </cell>
        </row>
        <row r="619">
          <cell r="B619" t="str">
            <v xml:space="preserve">CCTV SYSTEM                                       </v>
          </cell>
          <cell r="C619" t="str">
            <v xml:space="preserve">DLM                                               </v>
          </cell>
          <cell r="D619" t="str">
            <v xml:space="preserve">통제실            </v>
          </cell>
        </row>
        <row r="620">
          <cell r="B620" t="str">
            <v xml:space="preserve">CCTV SYSTEM                                       </v>
          </cell>
          <cell r="C620" t="str">
            <v xml:space="preserve">장비통제실                                        </v>
          </cell>
          <cell r="D620" t="str">
            <v xml:space="preserve">                  </v>
          </cell>
        </row>
        <row r="621">
          <cell r="B621" t="str">
            <v xml:space="preserve">CCTV SYSTEM                                       </v>
          </cell>
          <cell r="C621" t="str">
            <v xml:space="preserve">주통제실                                          </v>
          </cell>
          <cell r="D621" t="str">
            <v xml:space="preserve">                  </v>
          </cell>
        </row>
        <row r="622">
          <cell r="B622" t="str">
            <v xml:space="preserve">CCTV SYSTEM                                       </v>
          </cell>
          <cell r="C622" t="str">
            <v xml:space="preserve">WOMEN                                             </v>
          </cell>
          <cell r="D622" t="str">
            <v xml:space="preserve">휴계실            </v>
          </cell>
        </row>
        <row r="623">
          <cell r="B623" t="str">
            <v xml:space="preserve">CCTV SYSTEM                                       </v>
          </cell>
          <cell r="C623" t="str">
            <v xml:space="preserve">AIR SHOW                                          </v>
          </cell>
          <cell r="D623" t="str">
            <v xml:space="preserve">장비              </v>
          </cell>
        </row>
        <row r="624">
          <cell r="B624" t="str">
            <v xml:space="preserve">CCTV SYSTEM                                       </v>
          </cell>
          <cell r="C624" t="str">
            <v xml:space="preserve">CHEMICAL                                          </v>
          </cell>
          <cell r="D624" t="str">
            <v xml:space="preserve">창고              </v>
          </cell>
        </row>
        <row r="625">
          <cell r="B625" t="str">
            <v xml:space="preserve">CCTV SYSTEM                                       </v>
          </cell>
          <cell r="C625" t="str">
            <v xml:space="preserve">FAB4 WOMEN                                        </v>
          </cell>
          <cell r="D625" t="str">
            <v xml:space="preserve">LOCKER            </v>
          </cell>
        </row>
        <row r="626">
          <cell r="B626" t="str">
            <v xml:space="preserve">CCTV SYSTEM                                       </v>
          </cell>
          <cell r="C626" t="str">
            <v xml:space="preserve">FAB3 WOMEN                                        </v>
          </cell>
          <cell r="D626" t="str">
            <v xml:space="preserve">LOCKER            </v>
          </cell>
        </row>
        <row r="627">
          <cell r="B627" t="str">
            <v xml:space="preserve">CCTV SYSTEM                                       </v>
          </cell>
          <cell r="C627" t="str">
            <v xml:space="preserve">FAB3 WOMEN                                        </v>
          </cell>
          <cell r="D627" t="str">
            <v xml:space="preserve">LOCKER            </v>
          </cell>
        </row>
        <row r="628">
          <cell r="B628" t="str">
            <v xml:space="preserve">TEOS REFILL SYSTEM                                </v>
          </cell>
          <cell r="C628" t="str">
            <v xml:space="preserve">LU-8207                                           </v>
          </cell>
          <cell r="D628" t="str">
            <v xml:space="preserve">                  </v>
          </cell>
        </row>
        <row r="629">
          <cell r="B629" t="str">
            <v xml:space="preserve">WAFER TRANSFER MACHINE                            </v>
          </cell>
          <cell r="C629" t="str">
            <v xml:space="preserve">UJ2625A3 EUREK                                    </v>
          </cell>
          <cell r="D629" t="str">
            <v xml:space="preserve">                  </v>
          </cell>
        </row>
        <row r="630">
          <cell r="B630" t="str">
            <v xml:space="preserve">DRAIN BATH                                        </v>
          </cell>
          <cell r="C630" t="str">
            <v xml:space="preserve">COMMON                                            </v>
          </cell>
          <cell r="D630" t="str">
            <v xml:space="preserve">                  </v>
          </cell>
        </row>
        <row r="631">
          <cell r="B631" t="str">
            <v xml:space="preserve">IPA FIRE EXTINGUISHE                              </v>
          </cell>
          <cell r="C631" t="str">
            <v xml:space="preserve">COMMON                                            </v>
          </cell>
          <cell r="D631" t="str">
            <v xml:space="preserve">                  </v>
          </cell>
        </row>
        <row r="632">
          <cell r="B632" t="str">
            <v xml:space="preserve">IMPLANTER/PCW                                     </v>
          </cell>
          <cell r="C632" t="str">
            <v xml:space="preserve">COMMON                                            </v>
          </cell>
          <cell r="D632" t="str">
            <v xml:space="preserve">                  </v>
          </cell>
        </row>
        <row r="633">
          <cell r="B633" t="str">
            <v xml:space="preserve">CLEAN ROOM                                        </v>
          </cell>
          <cell r="C633" t="str">
            <v xml:space="preserve">COMMON                                            </v>
          </cell>
          <cell r="D633" t="str">
            <v xml:space="preserve">                  </v>
          </cell>
        </row>
        <row r="634">
          <cell r="B634" t="str">
            <v xml:space="preserve">W/F CARRIER TESTER                                </v>
          </cell>
          <cell r="C634" t="str">
            <v xml:space="preserve">INCLUDING 8"                                   </v>
          </cell>
          <cell r="D634" t="str">
            <v xml:space="preserve">HYMEC-001         </v>
          </cell>
        </row>
        <row r="635">
          <cell r="B635" t="str">
            <v xml:space="preserve">SCRUBBER R/M                                      </v>
          </cell>
          <cell r="C635" t="str">
            <v xml:space="preserve">COMMON                                            </v>
          </cell>
          <cell r="D635" t="str">
            <v xml:space="preserve">                  </v>
          </cell>
        </row>
        <row r="636">
          <cell r="B636" t="str">
            <v xml:space="preserve">GAS LEAK DETECTOR                                 </v>
          </cell>
          <cell r="C636" t="str">
            <v xml:space="preserve">COMMON                                            </v>
          </cell>
          <cell r="D636" t="str">
            <v xml:space="preserve">                  </v>
          </cell>
        </row>
        <row r="637">
          <cell r="B637" t="str">
            <v xml:space="preserve">EXHAUST DUCT                                      </v>
          </cell>
          <cell r="C637" t="str">
            <v xml:space="preserve">FRP                                               </v>
          </cell>
          <cell r="D637" t="str">
            <v xml:space="preserve">                  </v>
          </cell>
        </row>
        <row r="638">
          <cell r="B638" t="str">
            <v xml:space="preserve">DRY PUMP                                          </v>
          </cell>
          <cell r="C638" t="str">
            <v xml:space="preserve">ADS501/ADS301                                     </v>
          </cell>
          <cell r="D638" t="str">
            <v xml:space="preserve">                  </v>
          </cell>
        </row>
        <row r="639">
          <cell r="B639" t="str">
            <v xml:space="preserve">PART CLEANER                                      </v>
          </cell>
          <cell r="C639" t="str">
            <v xml:space="preserve">SET                                               </v>
          </cell>
          <cell r="D639" t="str">
            <v xml:space="preserve">                  </v>
          </cell>
        </row>
        <row r="640">
          <cell r="B640" t="str">
            <v xml:space="preserve">GAS CABINET(유휴)(ERE13)                          </v>
          </cell>
          <cell r="C640">
            <v>601242</v>
          </cell>
          <cell r="D640" t="str">
            <v xml:space="preserve">E11034601         </v>
          </cell>
        </row>
        <row r="641">
          <cell r="B641" t="str">
            <v xml:space="preserve">지게차                                            </v>
          </cell>
          <cell r="C641" t="str">
            <v xml:space="preserve">FBR12L                                            </v>
          </cell>
          <cell r="D641" t="str">
            <v xml:space="preserve">                  </v>
          </cell>
        </row>
        <row r="642">
          <cell r="B642" t="str">
            <v xml:space="preserve">TUBE WASHER                                       </v>
          </cell>
          <cell r="C642" t="str">
            <v xml:space="preserve">AUTO                                              </v>
          </cell>
          <cell r="D642" t="str">
            <v xml:space="preserve">                  </v>
          </cell>
        </row>
        <row r="643">
          <cell r="B643" t="str">
            <v xml:space="preserve">LINE DATA CONTROL SYSTEM                          </v>
          </cell>
          <cell r="C643" t="str">
            <v xml:space="preserve">COMMON                                            </v>
          </cell>
          <cell r="D643" t="str">
            <v xml:space="preserve">                  </v>
          </cell>
        </row>
        <row r="644">
          <cell r="B644" t="str">
            <v xml:space="preserve">AIR SHOWER                                        </v>
          </cell>
          <cell r="C644" t="str">
            <v xml:space="preserve">EA                                                </v>
          </cell>
          <cell r="D644" t="str">
            <v xml:space="preserve">S9508302          </v>
          </cell>
        </row>
        <row r="645">
          <cell r="B645" t="str">
            <v xml:space="preserve">AIR SHOWER                                        </v>
          </cell>
          <cell r="C645" t="str">
            <v xml:space="preserve">EA                                                </v>
          </cell>
          <cell r="D645" t="str">
            <v xml:space="preserve">S9508302          </v>
          </cell>
        </row>
        <row r="646">
          <cell r="B646" t="str">
            <v xml:space="preserve">HAND WASHER                                       </v>
          </cell>
          <cell r="C646" t="str">
            <v xml:space="preserve">2500*1400                                         </v>
          </cell>
          <cell r="D646" t="str">
            <v xml:space="preserve">                  </v>
          </cell>
        </row>
        <row r="647">
          <cell r="B647" t="str">
            <v xml:space="preserve">AIR TOWEL                                         </v>
          </cell>
          <cell r="C647" t="str">
            <v xml:space="preserve">2500*1400                                         </v>
          </cell>
          <cell r="D647" t="str">
            <v xml:space="preserve">                  </v>
          </cell>
        </row>
        <row r="648">
          <cell r="B648" t="str">
            <v xml:space="preserve">RETICLE STORAGE UNIT                              </v>
          </cell>
          <cell r="C648" t="str">
            <v xml:space="preserve">7110SL-310                                        </v>
          </cell>
          <cell r="D648" t="str">
            <v xml:space="preserve">C-114             </v>
          </cell>
        </row>
        <row r="649">
          <cell r="B649" t="str">
            <v xml:space="preserve">AIR SHOWER                                        </v>
          </cell>
          <cell r="C649" t="str">
            <v xml:space="preserve">EA                                                </v>
          </cell>
          <cell r="D649" t="str">
            <v xml:space="preserve">S9508302          </v>
          </cell>
        </row>
        <row r="650">
          <cell r="B650" t="str">
            <v xml:space="preserve">AIR SHOWER                                        </v>
          </cell>
          <cell r="C650" t="str">
            <v xml:space="preserve">EA                                                </v>
          </cell>
          <cell r="D650" t="str">
            <v xml:space="preserve">S9508302          </v>
          </cell>
        </row>
        <row r="651">
          <cell r="B651" t="str">
            <v xml:space="preserve">AIR SHOWER                                        </v>
          </cell>
          <cell r="C651" t="str">
            <v xml:space="preserve">EA                                                </v>
          </cell>
          <cell r="D651" t="str">
            <v xml:space="preserve">S9508302          </v>
          </cell>
        </row>
        <row r="652">
          <cell r="B652" t="str">
            <v xml:space="preserve">CATCH CUP CLEANER                                 </v>
          </cell>
          <cell r="C652" t="str">
            <v xml:space="preserve">AUTO                                              </v>
          </cell>
          <cell r="D652" t="str">
            <v xml:space="preserve">                  </v>
          </cell>
        </row>
        <row r="653">
          <cell r="B653" t="str">
            <v xml:space="preserve">P/R 관리 시스템                                   </v>
          </cell>
          <cell r="C653" t="str">
            <v xml:space="preserve">COMMON                                            </v>
          </cell>
          <cell r="D653" t="str">
            <v xml:space="preserve">                  </v>
          </cell>
        </row>
        <row r="654">
          <cell r="B654" t="str">
            <v xml:space="preserve">자동소화시스템                                    </v>
          </cell>
          <cell r="C654" t="str">
            <v xml:space="preserve">COMMON                                            </v>
          </cell>
          <cell r="D654" t="str">
            <v xml:space="preserve">                  </v>
          </cell>
        </row>
        <row r="655">
          <cell r="B655" t="str">
            <v xml:space="preserve">MANUAL PART CLEAN SINK                            </v>
          </cell>
          <cell r="C655" t="str">
            <v xml:space="preserve">COMMON                                            </v>
          </cell>
          <cell r="D655" t="str">
            <v xml:space="preserve">                  </v>
          </cell>
        </row>
        <row r="656">
          <cell r="B656" t="str">
            <v xml:space="preserve">CCTV SYSTEM                                       </v>
          </cell>
          <cell r="C656" t="str">
            <v xml:space="preserve">COMMON                                            </v>
          </cell>
          <cell r="D656" t="str">
            <v xml:space="preserve">                  </v>
          </cell>
        </row>
        <row r="657">
          <cell r="B657" t="str">
            <v xml:space="preserve">LINE 출입통제 SYSTEM                              </v>
          </cell>
          <cell r="C657" t="str">
            <v xml:space="preserve">FAB3,4                                          </v>
          </cell>
          <cell r="D657" t="str">
            <v xml:space="preserve">                  </v>
          </cell>
        </row>
        <row r="658">
          <cell r="B658" t="str">
            <v xml:space="preserve">AUTO LOADER                                       </v>
          </cell>
          <cell r="C658" t="str">
            <v xml:space="preserve">1M11CE-1                                          </v>
          </cell>
          <cell r="D658">
            <v>408747</v>
          </cell>
        </row>
        <row r="659">
          <cell r="B659" t="str">
            <v xml:space="preserve">AUTO SUPPLY SYSTEM                                </v>
          </cell>
          <cell r="C659" t="str">
            <v xml:space="preserve">COMMON                                            </v>
          </cell>
          <cell r="D659" t="str">
            <v xml:space="preserve">SC72              </v>
          </cell>
        </row>
        <row r="660">
          <cell r="B660" t="str">
            <v xml:space="preserve">AUTO SUPPLY SYSTEM                                </v>
          </cell>
          <cell r="C660" t="str">
            <v xml:space="preserve">COMMON                                            </v>
          </cell>
          <cell r="D660" t="str">
            <v xml:space="preserve">SC71              </v>
          </cell>
        </row>
        <row r="661">
          <cell r="B661" t="str">
            <v xml:space="preserve">AUTO CHEMICAL SUPPLY SYSTEM                       </v>
          </cell>
          <cell r="C661" t="str">
            <v xml:space="preserve">SET                                               </v>
          </cell>
          <cell r="D661" t="str">
            <v xml:space="preserve">                  </v>
          </cell>
        </row>
        <row r="662">
          <cell r="B662" t="str">
            <v xml:space="preserve">MICRO SCOPE                                       </v>
          </cell>
          <cell r="C662" t="str">
            <v xml:space="preserve">POLYCON                                           </v>
          </cell>
          <cell r="D662" t="str">
            <v xml:space="preserve">                  </v>
          </cell>
        </row>
        <row r="663">
          <cell r="B663" t="str">
            <v xml:space="preserve">BOAT CLEANER(2001.08유휴)                         </v>
          </cell>
          <cell r="C663" t="str">
            <v xml:space="preserve">BC-1705A-001                                      </v>
          </cell>
          <cell r="D663" t="str">
            <v xml:space="preserve">                  </v>
          </cell>
        </row>
        <row r="664">
          <cell r="B664" t="str">
            <v xml:space="preserve">MANUAL SINK                                       </v>
          </cell>
          <cell r="C664" t="str">
            <v xml:space="preserve">KCT-940601                                        </v>
          </cell>
          <cell r="D664" t="str">
            <v xml:space="preserve">                  </v>
          </cell>
        </row>
        <row r="665">
          <cell r="B665" t="str">
            <v xml:space="preserve">W/F TRANSFER                                      </v>
          </cell>
          <cell r="C665" t="str">
            <v xml:space="preserve">VST6/C2                                           </v>
          </cell>
          <cell r="D665" t="str">
            <v xml:space="preserve">                  </v>
          </cell>
        </row>
        <row r="666">
          <cell r="B666" t="str">
            <v xml:space="preserve">GAS CABINET(DDCS-04)                              </v>
          </cell>
          <cell r="C666" t="str">
            <v xml:space="preserve">SIH4/N2                                           </v>
          </cell>
          <cell r="D666" t="str">
            <v xml:space="preserve">                  </v>
          </cell>
        </row>
        <row r="667">
          <cell r="B667" t="str">
            <v xml:space="preserve">CATCH-CUP CLEANER                                 </v>
          </cell>
          <cell r="C667" t="str">
            <v xml:space="preserve">제작                                              </v>
          </cell>
          <cell r="D667" t="str">
            <v xml:space="preserve">                  </v>
          </cell>
        </row>
        <row r="668">
          <cell r="B668" t="str">
            <v xml:space="preserve">CATCH-CUP CLEANER                                 </v>
          </cell>
          <cell r="C668" t="str">
            <v xml:space="preserve">제작                                              </v>
          </cell>
          <cell r="D668" t="str">
            <v xml:space="preserve">                  </v>
          </cell>
        </row>
        <row r="669">
          <cell r="B669" t="str">
            <v xml:space="preserve">SUCKER                                            </v>
          </cell>
          <cell r="C669" t="str">
            <v xml:space="preserve">SUCKER                                            </v>
          </cell>
          <cell r="D669" t="str">
            <v xml:space="preserve">                  </v>
          </cell>
        </row>
        <row r="670">
          <cell r="B670" t="str">
            <v xml:space="preserve">W/F TRANSFER                                      </v>
          </cell>
          <cell r="C670" t="str">
            <v xml:space="preserve">EUREKA-III                                        </v>
          </cell>
          <cell r="D670" t="str">
            <v xml:space="preserve">PA182-60MB        </v>
          </cell>
        </row>
        <row r="671">
          <cell r="B671" t="str">
            <v xml:space="preserve">FURNACE DATA COLLECTION SYS                       </v>
          </cell>
          <cell r="C671" t="str">
            <v xml:space="preserve">SVG TRACK                                         </v>
          </cell>
          <cell r="D671" t="str">
            <v xml:space="preserve">                  </v>
          </cell>
        </row>
        <row r="672">
          <cell r="B672" t="str">
            <v xml:space="preserve">W/F TRANSFER                                      </v>
          </cell>
          <cell r="C672" t="str">
            <v xml:space="preserve">VST6/C2                                           </v>
          </cell>
          <cell r="D672" t="str">
            <v xml:space="preserve">                  </v>
          </cell>
        </row>
        <row r="673">
          <cell r="B673" t="str">
            <v xml:space="preserve">W/F TRANSFER                                      </v>
          </cell>
          <cell r="C673" t="str">
            <v xml:space="preserve">VST5/C2                                           </v>
          </cell>
          <cell r="D673" t="str">
            <v xml:space="preserve">                  </v>
          </cell>
        </row>
        <row r="674">
          <cell r="B674" t="str">
            <v xml:space="preserve">W/F TRANSFER                                      </v>
          </cell>
          <cell r="C674" t="str">
            <v xml:space="preserve">VST5/C2                                           </v>
          </cell>
          <cell r="D674" t="str">
            <v xml:space="preserve">                  </v>
          </cell>
        </row>
        <row r="675">
          <cell r="B675" t="str">
            <v xml:space="preserve">D.I CONTROLLER                                    </v>
          </cell>
          <cell r="C675" t="str">
            <v xml:space="preserve">RC-1000AC                                         </v>
          </cell>
          <cell r="D675" t="str">
            <v xml:space="preserve">                  </v>
          </cell>
        </row>
        <row r="676">
          <cell r="B676" t="str">
            <v xml:space="preserve">R.G.A SYSTEM                                      </v>
          </cell>
          <cell r="C676" t="str">
            <v xml:space="preserve">H200M                                             </v>
          </cell>
          <cell r="D676" t="str">
            <v xml:space="preserve">                  </v>
          </cell>
        </row>
        <row r="677">
          <cell r="B677" t="str">
            <v xml:space="preserve">W/F MOUNTER                                       </v>
          </cell>
          <cell r="C677" t="str">
            <v xml:space="preserve">DFM-M150                                          </v>
          </cell>
          <cell r="D677">
            <v>582</v>
          </cell>
        </row>
        <row r="678">
          <cell r="B678" t="str">
            <v xml:space="preserve">MICROSCOPE                                        </v>
          </cell>
          <cell r="C678" t="str">
            <v xml:space="preserve">POLYCON                                           </v>
          </cell>
          <cell r="D678">
            <v>413624</v>
          </cell>
        </row>
        <row r="679">
          <cell r="B679" t="str">
            <v xml:space="preserve">AUTO LOADER                                       </v>
          </cell>
          <cell r="C679" t="str">
            <v xml:space="preserve">AML-1                                             </v>
          </cell>
          <cell r="D679" t="str">
            <v xml:space="preserve">6511-030          </v>
          </cell>
        </row>
        <row r="680">
          <cell r="B680" t="str">
            <v xml:space="preserve">ULTRACIRCULATING COOLER                           </v>
          </cell>
          <cell r="C680" t="str">
            <v xml:space="preserve">RC310G20W                                         </v>
          </cell>
          <cell r="D680" t="str">
            <v xml:space="preserve">R1039311          </v>
          </cell>
        </row>
        <row r="681">
          <cell r="B681" t="str">
            <v xml:space="preserve">CHART RECORDER                                    </v>
          </cell>
          <cell r="C681" t="str">
            <v xml:space="preserve">L/N116                                            </v>
          </cell>
          <cell r="D681" t="str">
            <v xml:space="preserve">                  </v>
          </cell>
        </row>
        <row r="682">
          <cell r="B682" t="str">
            <v xml:space="preserve">LEAK DETECTOR                                     </v>
          </cell>
          <cell r="C682" t="str">
            <v xml:space="preserve">ASM 180TD                                         </v>
          </cell>
          <cell r="D682">
            <v>104</v>
          </cell>
        </row>
        <row r="683">
          <cell r="B683" t="str">
            <v xml:space="preserve">NET WORK SYSTEM                                   </v>
          </cell>
          <cell r="C683" t="str">
            <v xml:space="preserve">FABII 4MB                                         </v>
          </cell>
          <cell r="D683" t="str">
            <v xml:space="preserve">                  </v>
          </cell>
        </row>
        <row r="684">
          <cell r="B684" t="str">
            <v xml:space="preserve">SIGNAL ANALYZER                                   </v>
          </cell>
          <cell r="C684" t="str">
            <v xml:space="preserve">3560A                                             </v>
          </cell>
          <cell r="D684" t="str">
            <v xml:space="preserve">3236A00770        </v>
          </cell>
        </row>
        <row r="685">
          <cell r="B685" t="str">
            <v xml:space="preserve">WET SINK                                          </v>
          </cell>
          <cell r="C685" t="str">
            <v xml:space="preserve">KWS-9303                                          </v>
          </cell>
          <cell r="D685" t="str">
            <v xml:space="preserve">                  </v>
          </cell>
        </row>
        <row r="686">
          <cell r="B686" t="str">
            <v xml:space="preserve">OSCILLOSCOPE                                      </v>
          </cell>
          <cell r="C686" t="str">
            <v xml:space="preserve">TDS 2440                                          </v>
          </cell>
          <cell r="D686" t="str">
            <v xml:space="preserve">B016828           </v>
          </cell>
        </row>
        <row r="687">
          <cell r="B687" t="str">
            <v xml:space="preserve">OSCILLOSCOPE                                      </v>
          </cell>
          <cell r="C687" t="str">
            <v xml:space="preserve">TDS 2440                                          </v>
          </cell>
          <cell r="D687" t="str">
            <v xml:space="preserve">B016847           </v>
          </cell>
        </row>
        <row r="688">
          <cell r="B688" t="str">
            <v xml:space="preserve">OSCILLOSCOPE                                      </v>
          </cell>
          <cell r="C688" t="str">
            <v xml:space="preserve">TDS 540                                           </v>
          </cell>
          <cell r="D688" t="str">
            <v xml:space="preserve">B025149           </v>
          </cell>
        </row>
        <row r="689">
          <cell r="B689" t="str">
            <v xml:space="preserve">OVEN(CLEAN)                                       </v>
          </cell>
          <cell r="C689" t="str">
            <v xml:space="preserve">1300*1000*2000                                    </v>
          </cell>
          <cell r="D689" t="str">
            <v xml:space="preserve">                  </v>
          </cell>
        </row>
        <row r="690">
          <cell r="B690" t="str">
            <v xml:space="preserve">TEOS RECHARGE SYSTEM                              </v>
          </cell>
          <cell r="C690" t="str">
            <v xml:space="preserve">LU-8202                                           </v>
          </cell>
          <cell r="D690" t="str">
            <v xml:space="preserve">                  </v>
          </cell>
        </row>
        <row r="691">
          <cell r="B691" t="str">
            <v xml:space="preserve">AUTO DOOR OPERATOR                                </v>
          </cell>
          <cell r="C691" t="str">
            <v xml:space="preserve">AIR SHOWER                                        </v>
          </cell>
          <cell r="D691" t="str">
            <v xml:space="preserve">                  </v>
          </cell>
        </row>
        <row r="692">
          <cell r="B692" t="str">
            <v xml:space="preserve">METAL THICKNESS MEASUREMENT SYSTEM                </v>
          </cell>
          <cell r="C692" t="str">
            <v xml:space="preserve">AXIC 100-II                                       </v>
          </cell>
          <cell r="D692">
            <v>10068</v>
          </cell>
        </row>
        <row r="693">
          <cell r="B693" t="str">
            <v xml:space="preserve">BEAD BLASTER                                      </v>
          </cell>
          <cell r="C693" t="str">
            <v xml:space="preserve">KECB8-500T                                        </v>
          </cell>
          <cell r="D693" t="str">
            <v xml:space="preserve">                  </v>
          </cell>
        </row>
        <row r="694">
          <cell r="B694" t="str">
            <v xml:space="preserve">BEAD BLASTER                                      </v>
          </cell>
          <cell r="C694" t="str">
            <v xml:space="preserve">KECB8-500T                                        </v>
          </cell>
          <cell r="D694" t="str">
            <v xml:space="preserve">                  </v>
          </cell>
        </row>
        <row r="695">
          <cell r="B695" t="str">
            <v xml:space="preserve">WAFER TRANSFER SYSTEM                             </v>
          </cell>
          <cell r="C695" t="str">
            <v xml:space="preserve">PXM-2912V2A-15                                    </v>
          </cell>
          <cell r="D695" t="str">
            <v xml:space="preserve">291-6-25BT2       </v>
          </cell>
        </row>
        <row r="696">
          <cell r="B696" t="str">
            <v xml:space="preserve">WAFER TRANSFER SYSTEM                             </v>
          </cell>
          <cell r="C696" t="str">
            <v xml:space="preserve">PXM-2912V2A-15                                    </v>
          </cell>
          <cell r="D696" t="str">
            <v xml:space="preserve">291-6-25BT3       </v>
          </cell>
        </row>
        <row r="697">
          <cell r="B697" t="str">
            <v xml:space="preserve">SENS ARRAY THERMOCOUPLE SACANNER                  </v>
          </cell>
          <cell r="C697">
            <v>1610</v>
          </cell>
          <cell r="D697">
            <v>17221</v>
          </cell>
        </row>
        <row r="698">
          <cell r="B698" t="str">
            <v xml:space="preserve">UV BASE SYSTEM(DNS)                               </v>
          </cell>
          <cell r="C698" t="str">
            <v xml:space="preserve">UMA-802-HC55                                      </v>
          </cell>
          <cell r="D698" t="str">
            <v xml:space="preserve">91*002            </v>
          </cell>
        </row>
        <row r="699">
          <cell r="B699" t="str">
            <v xml:space="preserve">SURFACE ROUGHNESS MEASURING SYSTEM                </v>
          </cell>
          <cell r="C699" t="str">
            <v xml:space="preserve">SE-30D                                            </v>
          </cell>
          <cell r="D699" t="str">
            <v xml:space="preserve">EX3132-16         </v>
          </cell>
        </row>
        <row r="700">
          <cell r="B700" t="str">
            <v xml:space="preserve">CHILLER                                           </v>
          </cell>
          <cell r="C700" t="str">
            <v xml:space="preserve">HX-750                                            </v>
          </cell>
          <cell r="D700" t="str">
            <v xml:space="preserve">                  </v>
          </cell>
        </row>
        <row r="701">
          <cell r="B701" t="str">
            <v xml:space="preserve">OVEN(CURING)                                      </v>
          </cell>
          <cell r="C701" t="str">
            <v xml:space="preserve">DCC-256C                                          </v>
          </cell>
          <cell r="D701" t="str">
            <v xml:space="preserve">                  </v>
          </cell>
        </row>
        <row r="702">
          <cell r="B702" t="str">
            <v xml:space="preserve">THERMO STERAM                                     </v>
          </cell>
          <cell r="C702" t="str">
            <v xml:space="preserve">THERMONICS                                        </v>
          </cell>
          <cell r="D702" t="str">
            <v xml:space="preserve">                  </v>
          </cell>
        </row>
        <row r="703">
          <cell r="B703" t="str">
            <v xml:space="preserve">FLAT ZONE ALIGNER                                 </v>
          </cell>
          <cell r="C703" t="str">
            <v xml:space="preserve">LOADING                                           </v>
          </cell>
          <cell r="D703" t="str">
            <v xml:space="preserve">                  </v>
          </cell>
        </row>
        <row r="704">
          <cell r="B704" t="str">
            <v xml:space="preserve">CHILLER                                           </v>
          </cell>
          <cell r="C704" t="str">
            <v xml:space="preserve">HX-150W                                           </v>
          </cell>
          <cell r="D704" t="str">
            <v xml:space="preserve">                  </v>
          </cell>
        </row>
        <row r="705">
          <cell r="B705" t="str">
            <v xml:space="preserve">TRANSFER&amp; AGITATION SYSTEM                        </v>
          </cell>
          <cell r="C705" t="str">
            <v xml:space="preserve">SYSMAX TAS-3                                      </v>
          </cell>
          <cell r="D705" t="str">
            <v xml:space="preserve">                  </v>
          </cell>
        </row>
        <row r="706">
          <cell r="B706" t="str">
            <v xml:space="preserve">AUTO LOADER                                       </v>
          </cell>
          <cell r="C706" t="str">
            <v xml:space="preserve">IM-11                                             </v>
          </cell>
          <cell r="D706">
            <v>111549</v>
          </cell>
        </row>
        <row r="707">
          <cell r="B707" t="str">
            <v xml:space="preserve">AUTO LOADER                                       </v>
          </cell>
          <cell r="C707" t="str">
            <v xml:space="preserve">IM-11                                             </v>
          </cell>
          <cell r="D707">
            <v>111548</v>
          </cell>
        </row>
        <row r="708">
          <cell r="B708" t="str">
            <v xml:space="preserve">PROGRAMMABLE CURVE TRACER                         </v>
          </cell>
          <cell r="C708" t="str">
            <v xml:space="preserve">TEK370                                            </v>
          </cell>
          <cell r="D708" t="str">
            <v xml:space="preserve">                  </v>
          </cell>
        </row>
        <row r="709">
          <cell r="B709" t="str">
            <v xml:space="preserve">MICRO DYNASCOPE SYSTEM                            </v>
          </cell>
          <cell r="C709" t="str">
            <v xml:space="preserve">5E                                                </v>
          </cell>
          <cell r="D709" t="str">
            <v xml:space="preserve">                  </v>
          </cell>
        </row>
        <row r="710">
          <cell r="B710" t="str">
            <v xml:space="preserve">AIR SHOWER DOOR                                   </v>
          </cell>
          <cell r="C710" t="str">
            <v xml:space="preserve">534*2460                                          </v>
          </cell>
          <cell r="D710" t="str">
            <v xml:space="preserve">                  </v>
          </cell>
        </row>
        <row r="711">
          <cell r="B711" t="str">
            <v xml:space="preserve">TRASONIC CLEANER(2001.08유휴)                     </v>
          </cell>
          <cell r="C711" t="str">
            <v xml:space="preserve">WIS-US-201                                        </v>
          </cell>
          <cell r="D711" t="str">
            <v xml:space="preserve">                  </v>
          </cell>
        </row>
        <row r="712">
          <cell r="B712" t="str">
            <v xml:space="preserve">W/F TRANSFER (ASQ)                                </v>
          </cell>
          <cell r="C712" t="str">
            <v xml:space="preserve">AT IE-625                                         </v>
          </cell>
          <cell r="D712">
            <v>1221</v>
          </cell>
        </row>
        <row r="713">
          <cell r="B713" t="str">
            <v xml:space="preserve">W/F TRANSFER (ASQ)                                </v>
          </cell>
          <cell r="C713" t="str">
            <v xml:space="preserve">AT IE-625                                         </v>
          </cell>
          <cell r="D713">
            <v>1220</v>
          </cell>
        </row>
        <row r="714">
          <cell r="B714" t="str">
            <v xml:space="preserve">ILLUMINOMETER                                     </v>
          </cell>
          <cell r="C714" t="str">
            <v xml:space="preserve">260*245*215                                       </v>
          </cell>
          <cell r="D714" t="str">
            <v xml:space="preserve">                  </v>
          </cell>
        </row>
        <row r="715">
          <cell r="B715" t="str">
            <v xml:space="preserve">MICROSCOPE (LEICA)                                </v>
          </cell>
          <cell r="C715" t="str">
            <v xml:space="preserve">POLYVAR-SC                                        </v>
          </cell>
          <cell r="D715">
            <v>410599</v>
          </cell>
        </row>
        <row r="716">
          <cell r="B716" t="str">
            <v xml:space="preserve">SPUTTER(SP94 PART(2001.08유휴)                    </v>
          </cell>
          <cell r="C716" t="str">
            <v xml:space="preserve">VARIAN M-2000                                     </v>
          </cell>
          <cell r="D716" t="str">
            <v xml:space="preserve">A91-001           </v>
          </cell>
        </row>
        <row r="717">
          <cell r="B717" t="str">
            <v xml:space="preserve">SPRAY STRIP SYSTEM (SEMITOOLS)                    </v>
          </cell>
          <cell r="C717" t="str">
            <v xml:space="preserve">WSST 806MG                                        </v>
          </cell>
          <cell r="D717" t="str">
            <v xml:space="preserve">                  </v>
          </cell>
        </row>
        <row r="718">
          <cell r="B718" t="str">
            <v xml:space="preserve">MICRO SCOPE (OLYMPUS)                             </v>
          </cell>
          <cell r="C718" t="str">
            <v xml:space="preserve">BH2 MJL73D 5*1                                    </v>
          </cell>
          <cell r="D718">
            <v>907007</v>
          </cell>
        </row>
        <row r="719">
          <cell r="B719" t="str">
            <v xml:space="preserve">MICRO SCOPE (OLYMPUS)                             </v>
          </cell>
          <cell r="C719" t="str">
            <v xml:space="preserve">BH2 MJL73D 5*1                                    </v>
          </cell>
          <cell r="D719">
            <v>907016</v>
          </cell>
        </row>
        <row r="720">
          <cell r="B720" t="str">
            <v xml:space="preserve">MICRO SCOPE (OLYMPUS)                             </v>
          </cell>
          <cell r="C720" t="str">
            <v xml:space="preserve">BH2 MJL73D 5*1                                    </v>
          </cell>
          <cell r="D720">
            <v>904016</v>
          </cell>
        </row>
        <row r="721">
          <cell r="B721" t="str">
            <v xml:space="preserve">MICRO SCOPE (OLYMPUS)                             </v>
          </cell>
          <cell r="C721" t="str">
            <v xml:space="preserve">BH2 MJL73D 5*1                                    </v>
          </cell>
          <cell r="D721">
            <v>907018</v>
          </cell>
        </row>
        <row r="722">
          <cell r="B722" t="str">
            <v xml:space="preserve">MICRO SCOPE (OLYMPUS)                             </v>
          </cell>
          <cell r="C722" t="str">
            <v xml:space="preserve">BH2 MJL73D 5*1                                    </v>
          </cell>
          <cell r="D722">
            <v>904002</v>
          </cell>
        </row>
        <row r="723">
          <cell r="B723" t="str">
            <v xml:space="preserve">GAS CABINET                                       </v>
          </cell>
          <cell r="C723" t="str">
            <v xml:space="preserve">HBR,HCL,CL2(AU                                  </v>
          </cell>
          <cell r="D723" t="str">
            <v xml:space="preserve">                  </v>
          </cell>
        </row>
        <row r="724">
          <cell r="B724" t="str">
            <v xml:space="preserve">CEILING MOUNT EMITTER(HARADA)                     </v>
          </cell>
          <cell r="C724" t="str">
            <v xml:space="preserve">NILSTAT-3000                                      </v>
          </cell>
          <cell r="D724" t="str">
            <v xml:space="preserve">                  </v>
          </cell>
        </row>
        <row r="725">
          <cell r="B725" t="str">
            <v xml:space="preserve">TOXIC GAS MONITOR'G SYSTEM                        </v>
          </cell>
          <cell r="C725" t="str">
            <v xml:space="preserve">M D A                                             </v>
          </cell>
          <cell r="D725" t="str">
            <v xml:space="preserve">                  </v>
          </cell>
        </row>
        <row r="726">
          <cell r="B726" t="str">
            <v xml:space="preserve">TOXIC GAS MONITOR'G SYSTEM                        </v>
          </cell>
          <cell r="C726" t="str">
            <v xml:space="preserve">MDA SCIENTIFIC                                    </v>
          </cell>
          <cell r="D726" t="str">
            <v xml:space="preserve">                  </v>
          </cell>
        </row>
        <row r="727">
          <cell r="B727" t="str">
            <v xml:space="preserve">AUTO LOADER                                       </v>
          </cell>
          <cell r="C727" t="str">
            <v xml:space="preserve">AL-18L-6                                          </v>
          </cell>
          <cell r="D727" t="str">
            <v xml:space="preserve">                  </v>
          </cell>
        </row>
        <row r="728">
          <cell r="B728" t="str">
            <v xml:space="preserve">W/F CARRIER CLEAN'G SYS(HUGLE)                    </v>
          </cell>
          <cell r="C728" t="str">
            <v xml:space="preserve">CRD-4000                                          </v>
          </cell>
          <cell r="D728">
            <v>8907</v>
          </cell>
        </row>
        <row r="729">
          <cell r="B729" t="str">
            <v xml:space="preserve">WET CLEANSING SYSTEM (MATTSON)                    </v>
          </cell>
          <cell r="C729" t="str">
            <v xml:space="preserve">QTN902812-1                                       </v>
          </cell>
          <cell r="D729" t="str">
            <v xml:space="preserve">                  </v>
          </cell>
        </row>
        <row r="730">
          <cell r="B730" t="str">
            <v xml:space="preserve">ION SOURCE BAKE SYS(2001.08유휴)                  </v>
          </cell>
          <cell r="C730" t="str">
            <v xml:space="preserve">UKP-102E                                          </v>
          </cell>
          <cell r="D730" t="str">
            <v xml:space="preserve">                  </v>
          </cell>
        </row>
        <row r="731">
          <cell r="B731" t="str">
            <v xml:space="preserve">HOOK-UP                                           </v>
          </cell>
          <cell r="C731" t="str">
            <v xml:space="preserve">R&amp;D                                               </v>
          </cell>
          <cell r="D731" t="str">
            <v xml:space="preserve">                  </v>
          </cell>
        </row>
        <row r="732">
          <cell r="B732" t="str">
            <v xml:space="preserve">R&amp;D설비                                           </v>
          </cell>
          <cell r="C732" t="str">
            <v xml:space="preserve">R&amp;D                                               </v>
          </cell>
          <cell r="D732" t="str">
            <v xml:space="preserve">                  </v>
          </cell>
        </row>
        <row r="733">
          <cell r="B733" t="str">
            <v xml:space="preserve">WAFER TRANSFER SYSTEM                             </v>
          </cell>
          <cell r="C733" t="str">
            <v xml:space="preserve">PXM2912 V2-150                                    </v>
          </cell>
          <cell r="D733">
            <v>291003</v>
          </cell>
        </row>
        <row r="734">
          <cell r="B734" t="str">
            <v xml:space="preserve">WAFER TRANSFER SYSTEM                             </v>
          </cell>
          <cell r="C734" t="str">
            <v xml:space="preserve">PXM2912 V2-150                                    </v>
          </cell>
          <cell r="D734">
            <v>201002</v>
          </cell>
        </row>
        <row r="735">
          <cell r="B735" t="str">
            <v xml:space="preserve">WAFER TRANSFER SYSTEM                             </v>
          </cell>
          <cell r="C735" t="str">
            <v xml:space="preserve">PXM2912 V2-150                                    </v>
          </cell>
          <cell r="D735">
            <v>291001</v>
          </cell>
        </row>
        <row r="736">
          <cell r="B736" t="str">
            <v xml:space="preserve">HIGH VACUUM EVAPORATOR                            </v>
          </cell>
          <cell r="C736" t="str">
            <v xml:space="preserve">HVS-5GN                                           </v>
          </cell>
          <cell r="D736">
            <v>1651</v>
          </cell>
        </row>
        <row r="737">
          <cell r="B737" t="str">
            <v xml:space="preserve">LAMBDA ACE (SOEI)                                 </v>
          </cell>
          <cell r="C737" t="str">
            <v xml:space="preserve">STM-602 J                                         </v>
          </cell>
          <cell r="D737" t="str">
            <v xml:space="preserve">LA-001            </v>
          </cell>
        </row>
        <row r="738">
          <cell r="B738" t="str">
            <v xml:space="preserve">ETCHER                                            </v>
          </cell>
          <cell r="C738" t="str">
            <v xml:space="preserve">RAINBOW 4400                                      </v>
          </cell>
          <cell r="D738">
            <v>2103</v>
          </cell>
        </row>
        <row r="739">
          <cell r="B739" t="str">
            <v xml:space="preserve">OSCILLOSCOPE                                      </v>
          </cell>
          <cell r="C739">
            <v>2440</v>
          </cell>
          <cell r="D739" t="str">
            <v xml:space="preserve">B 011860          </v>
          </cell>
        </row>
        <row r="740">
          <cell r="B740" t="str">
            <v xml:space="preserve">OSCILLOSCOPE                                      </v>
          </cell>
          <cell r="C740" t="str">
            <v xml:space="preserve">2445 B                                            </v>
          </cell>
          <cell r="D740" t="str">
            <v xml:space="preserve">B 011516          </v>
          </cell>
        </row>
        <row r="741">
          <cell r="B741" t="str">
            <v xml:space="preserve">ELLIPSOMETER                                      </v>
          </cell>
          <cell r="C741" t="str">
            <v xml:space="preserve">AUTO EL-3                                         </v>
          </cell>
          <cell r="D741">
            <v>8005</v>
          </cell>
        </row>
        <row r="742">
          <cell r="B742" t="str">
            <v xml:space="preserve">GAS CABINET                                       </v>
          </cell>
          <cell r="C742" t="str">
            <v xml:space="preserve">4BTL                                              </v>
          </cell>
          <cell r="D742" t="str">
            <v xml:space="preserve">                  </v>
          </cell>
        </row>
        <row r="743">
          <cell r="B743" t="str">
            <v xml:space="preserve">VACUUM PUMP                                       </v>
          </cell>
          <cell r="C743" t="str">
            <v xml:space="preserve">700D                                              </v>
          </cell>
          <cell r="D743" t="str">
            <v xml:space="preserve">8Z00821A          </v>
          </cell>
        </row>
        <row r="744">
          <cell r="B744" t="str">
            <v xml:space="preserve">IR LAMP DRYER(2001.08유휴)                        </v>
          </cell>
          <cell r="C744" t="str">
            <v xml:space="preserve">1500*1000*2250                                    </v>
          </cell>
          <cell r="D744" t="str">
            <v xml:space="preserve">                  </v>
          </cell>
        </row>
        <row r="745">
          <cell r="B745" t="str">
            <v xml:space="preserve">GAS CABINET(유휴)(ERE05)                          </v>
          </cell>
          <cell r="C745" t="str">
            <v xml:space="preserve">CL2 BBR3                                          </v>
          </cell>
          <cell r="D745" t="str">
            <v xml:space="preserve">CC-6              </v>
          </cell>
        </row>
        <row r="746">
          <cell r="B746" t="str">
            <v xml:space="preserve">GAS CABINET(유휴)(T-7B)                           </v>
          </cell>
          <cell r="C746" t="str">
            <v xml:space="preserve">WF6                                               </v>
          </cell>
          <cell r="D746" t="str">
            <v xml:space="preserve">CC-20             </v>
          </cell>
        </row>
        <row r="747">
          <cell r="B747" t="str">
            <v xml:space="preserve">GAS CABINET(유휴)(T-6A)                           </v>
          </cell>
          <cell r="C747" t="str">
            <v xml:space="preserve">AR(3)                                             </v>
          </cell>
          <cell r="D747" t="str">
            <v xml:space="preserve">CC-19             </v>
          </cell>
        </row>
        <row r="748">
          <cell r="B748" t="str">
            <v xml:space="preserve">GAS CABINET(유휴)(ERE04)                          </v>
          </cell>
          <cell r="C748" t="str">
            <v xml:space="preserve">HBR CL2                                           </v>
          </cell>
          <cell r="D748" t="str">
            <v xml:space="preserve">CC-13             </v>
          </cell>
        </row>
        <row r="749">
          <cell r="B749" t="str">
            <v xml:space="preserve">GAS CABINET(유휴)(ERE12)                          </v>
          </cell>
          <cell r="C749" t="str">
            <v xml:space="preserve">HIH4 PH3                                          </v>
          </cell>
          <cell r="D749" t="str">
            <v xml:space="preserve">CC-2              </v>
          </cell>
        </row>
        <row r="750">
          <cell r="B750" t="str">
            <v xml:space="preserve">PROGRAMMABLE PULSE GRNERATOR                      </v>
          </cell>
          <cell r="C750" t="str">
            <v xml:space="preserve">50MHZ                                             </v>
          </cell>
          <cell r="D750" t="str">
            <v xml:space="preserve">2902G01460        </v>
          </cell>
        </row>
        <row r="751">
          <cell r="B751" t="str">
            <v xml:space="preserve">AUTO LOADER                                       </v>
          </cell>
          <cell r="C751" t="str">
            <v xml:space="preserve">AL-IBL-6-SP                                       </v>
          </cell>
          <cell r="D751" t="str">
            <v xml:space="preserve">B90525            </v>
          </cell>
        </row>
        <row r="752">
          <cell r="B752" t="str">
            <v xml:space="preserve">AUTO LOADER                                       </v>
          </cell>
          <cell r="C752" t="str">
            <v xml:space="preserve">AL-IBL-6-SP                                       </v>
          </cell>
          <cell r="D752" t="str">
            <v xml:space="preserve">B90001            </v>
          </cell>
        </row>
        <row r="753">
          <cell r="B753" t="str">
            <v xml:space="preserve">CLEAN VENCH                                       </v>
          </cell>
          <cell r="C753" t="str">
            <v xml:space="preserve">COMMON                                            </v>
          </cell>
          <cell r="D753" t="str">
            <v xml:space="preserve">                  </v>
          </cell>
        </row>
        <row r="754">
          <cell r="B754" t="str">
            <v xml:space="preserve">TUBE CLEANER(2001.08유휴)                         </v>
          </cell>
          <cell r="C754" t="str">
            <v xml:space="preserve">COMMON                                            </v>
          </cell>
          <cell r="D754" t="str">
            <v xml:space="preserve">                  </v>
          </cell>
        </row>
        <row r="755">
          <cell r="B755" t="str">
            <v xml:space="preserve">GAS CABINET(유휴)(ERE09)                          </v>
          </cell>
          <cell r="C755" t="str">
            <v xml:space="preserve">N2O                                               </v>
          </cell>
          <cell r="D755" t="str">
            <v xml:space="preserve">                  </v>
          </cell>
        </row>
        <row r="756">
          <cell r="B756" t="str">
            <v xml:space="preserve">GAS CABINET(유휴)(ERE07)                          </v>
          </cell>
          <cell r="C756" t="str">
            <v xml:space="preserve">NH3                                               </v>
          </cell>
          <cell r="D756" t="str">
            <v xml:space="preserve">                  </v>
          </cell>
        </row>
        <row r="757">
          <cell r="B757" t="str">
            <v xml:space="preserve">TUBE WASHER(VERTICAL)                             </v>
          </cell>
          <cell r="C757" t="str">
            <v xml:space="preserve">1500*800*2000M                                    </v>
          </cell>
          <cell r="D757" t="str">
            <v xml:space="preserve">900403-01-02      </v>
          </cell>
        </row>
        <row r="758">
          <cell r="B758" t="str">
            <v xml:space="preserve">TUBE WASHER(VERTICAL)                             </v>
          </cell>
          <cell r="C758" t="str">
            <v xml:space="preserve">1500*800*2000M                                    </v>
          </cell>
          <cell r="D758" t="str">
            <v xml:space="preserve">900403-01-02      </v>
          </cell>
        </row>
        <row r="759">
          <cell r="B759" t="str">
            <v xml:space="preserve">AIR COMPRIESSOR                                   </v>
          </cell>
          <cell r="C759" t="str">
            <v xml:space="preserve">AC1002U                                           </v>
          </cell>
          <cell r="D759" t="str">
            <v xml:space="preserve">                  </v>
          </cell>
        </row>
        <row r="760">
          <cell r="B760" t="str">
            <v xml:space="preserve">CABLE TRAY                                        </v>
          </cell>
          <cell r="C760" t="str">
            <v xml:space="preserve">COMMON                                            </v>
          </cell>
          <cell r="D760" t="str">
            <v xml:space="preserve">                  </v>
          </cell>
        </row>
        <row r="761">
          <cell r="B761" t="str">
            <v xml:space="preserve">CHEAN BENCH                                       </v>
          </cell>
          <cell r="C761" t="str">
            <v xml:space="preserve">1500*790*1855                                     </v>
          </cell>
          <cell r="D761" t="str">
            <v xml:space="preserve">                  </v>
          </cell>
        </row>
        <row r="762">
          <cell r="B762" t="str">
            <v xml:space="preserve">CHEAN BENCH                                       </v>
          </cell>
          <cell r="C762" t="str">
            <v xml:space="preserve">1500*790*1855                                     </v>
          </cell>
          <cell r="D762" t="str">
            <v xml:space="preserve">                  </v>
          </cell>
        </row>
        <row r="763">
          <cell r="B763" t="str">
            <v xml:space="preserve">ANCON QUARTZ WARE CLEANER(2001.08유휴)            </v>
          </cell>
          <cell r="C763" t="str">
            <v xml:space="preserve">1500*1150*2000                                    </v>
          </cell>
          <cell r="D763" t="str">
            <v xml:space="preserve">                  </v>
          </cell>
        </row>
        <row r="764">
          <cell r="A764" t="str">
            <v>OV71E</v>
          </cell>
          <cell r="B764" t="str">
            <v xml:space="preserve">OVEN(CLEAN,OV71E)                                 </v>
          </cell>
          <cell r="C764" t="str">
            <v xml:space="preserve">1770*1200*1700                                    </v>
          </cell>
          <cell r="D764">
            <v>890890</v>
          </cell>
        </row>
        <row r="765">
          <cell r="A765" t="str">
            <v>OV21E</v>
          </cell>
          <cell r="B765" t="str">
            <v xml:space="preserve">OVEN(CLEAN,OV21E)                                 </v>
          </cell>
          <cell r="C765" t="str">
            <v xml:space="preserve">1770*1200*1700                                    </v>
          </cell>
          <cell r="D765">
            <v>890887</v>
          </cell>
        </row>
        <row r="766">
          <cell r="B766" t="str">
            <v xml:space="preserve">TUBE WASHER                                       </v>
          </cell>
          <cell r="C766" t="str">
            <v xml:space="preserve">3680*1100*1750                                    </v>
          </cell>
          <cell r="D766" t="str">
            <v xml:space="preserve">                  </v>
          </cell>
        </row>
        <row r="767">
          <cell r="B767" t="str">
            <v xml:space="preserve">TUBE WASHER                                       </v>
          </cell>
          <cell r="C767" t="str">
            <v xml:space="preserve">3680*1100*1750                                    </v>
          </cell>
          <cell r="D767" t="str">
            <v xml:space="preserve">                  </v>
          </cell>
        </row>
        <row r="768">
          <cell r="B768" t="str">
            <v xml:space="preserve">TUBE WASHER                                       </v>
          </cell>
          <cell r="C768" t="str">
            <v xml:space="preserve">3680*1100*1750                                    </v>
          </cell>
          <cell r="D768" t="str">
            <v xml:space="preserve">                  </v>
          </cell>
        </row>
        <row r="769">
          <cell r="B769" t="str">
            <v xml:space="preserve">TUBE WASHER                                       </v>
          </cell>
          <cell r="C769" t="str">
            <v xml:space="preserve">3680*1100*1750                                    </v>
          </cell>
          <cell r="D769" t="str">
            <v xml:space="preserve">                  </v>
          </cell>
        </row>
        <row r="770">
          <cell r="B770" t="str">
            <v xml:space="preserve">TUBE WASHER                                       </v>
          </cell>
          <cell r="C770" t="str">
            <v xml:space="preserve">3680*1100*1750                                    </v>
          </cell>
          <cell r="D770" t="str">
            <v xml:space="preserve">                  </v>
          </cell>
        </row>
        <row r="771">
          <cell r="B771" t="str">
            <v xml:space="preserve">TUBE WASHER                                       </v>
          </cell>
          <cell r="C771" t="str">
            <v xml:space="preserve">3680*1100*1750                                    </v>
          </cell>
          <cell r="D771" t="str">
            <v xml:space="preserve">                  </v>
          </cell>
        </row>
        <row r="772">
          <cell r="B772" t="str">
            <v xml:space="preserve">QUAREZ WARE STORAGE BOX                           </v>
          </cell>
          <cell r="C772" t="str">
            <v xml:space="preserve">3850*1100*1930                                    </v>
          </cell>
          <cell r="D772" t="str">
            <v xml:space="preserve">                  </v>
          </cell>
        </row>
        <row r="773">
          <cell r="B773" t="str">
            <v xml:space="preserve">QUAREZ WARE STORAGE BOX                           </v>
          </cell>
          <cell r="C773" t="str">
            <v xml:space="preserve">3850*1100*1930                                    </v>
          </cell>
          <cell r="D773" t="str">
            <v xml:space="preserve">                  </v>
          </cell>
        </row>
        <row r="774">
          <cell r="B774" t="str">
            <v xml:space="preserve">QUAREZ WARE STORAGE BOX                           </v>
          </cell>
          <cell r="C774" t="str">
            <v xml:space="preserve">3850*1100*1930                                    </v>
          </cell>
          <cell r="D774" t="str">
            <v xml:space="preserve">                  </v>
          </cell>
        </row>
        <row r="775">
          <cell r="B775" t="str">
            <v xml:space="preserve">TITLING ROTARY TABLE                              </v>
          </cell>
          <cell r="C775" t="str">
            <v xml:space="preserve">TT-300                                            </v>
          </cell>
          <cell r="D775" t="str">
            <v xml:space="preserve">                  </v>
          </cell>
        </row>
        <row r="776">
          <cell r="B776" t="str">
            <v xml:space="preserve">DIGITAL WATTMETER                                 </v>
          </cell>
          <cell r="C776" t="str">
            <v xml:space="preserve">4421/102                                          </v>
          </cell>
          <cell r="D776">
            <v>2836</v>
          </cell>
        </row>
        <row r="777">
          <cell r="B777" t="str">
            <v xml:space="preserve">DIGITAL WATTMETER                                 </v>
          </cell>
          <cell r="C777" t="str">
            <v xml:space="preserve">4421/102                                          </v>
          </cell>
          <cell r="D777">
            <v>2835</v>
          </cell>
        </row>
        <row r="778">
          <cell r="B778" t="str">
            <v xml:space="preserve">ILLUMINATOR                                       </v>
          </cell>
          <cell r="C778" t="str">
            <v xml:space="preserve">360/11-C1                                         </v>
          </cell>
          <cell r="D778" t="str">
            <v xml:space="preserve">TP308198          </v>
          </cell>
        </row>
        <row r="779">
          <cell r="B779" t="str">
            <v xml:space="preserve">ILLUMINATOR                                       </v>
          </cell>
          <cell r="C779" t="str">
            <v xml:space="preserve">360/11-C1                                         </v>
          </cell>
          <cell r="D779" t="str">
            <v xml:space="preserve">TP308199          </v>
          </cell>
        </row>
        <row r="780">
          <cell r="B780" t="str">
            <v xml:space="preserve">FILTER                                            </v>
          </cell>
          <cell r="C780" t="str">
            <v xml:space="preserve">M00000001                                         </v>
          </cell>
          <cell r="D780">
            <v>3999</v>
          </cell>
        </row>
        <row r="781">
          <cell r="B781" t="str">
            <v xml:space="preserve">FILTER                                            </v>
          </cell>
          <cell r="C781" t="str">
            <v xml:space="preserve">XX6350115                                         </v>
          </cell>
          <cell r="D781">
            <v>3999</v>
          </cell>
        </row>
        <row r="782">
          <cell r="B782" t="str">
            <v xml:space="preserve">TEMP MESUREMENT METER                             </v>
          </cell>
          <cell r="C782" t="str">
            <v xml:space="preserve">MICROMITE                                         </v>
          </cell>
          <cell r="D782">
            <v>3115700</v>
          </cell>
        </row>
        <row r="783">
          <cell r="B783" t="str">
            <v xml:space="preserve">탁자                                              </v>
          </cell>
          <cell r="C783" t="str">
            <v xml:space="preserve">CT2960                                            </v>
          </cell>
          <cell r="D783" t="str">
            <v xml:space="preserve">                  </v>
          </cell>
        </row>
        <row r="784">
          <cell r="B784" t="str">
            <v xml:space="preserve">책상                                              </v>
          </cell>
          <cell r="C784" t="str">
            <v xml:space="preserve">SPT2952A(1500X700)                                </v>
          </cell>
          <cell r="D784" t="str">
            <v xml:space="preserve">                  </v>
          </cell>
        </row>
        <row r="785">
          <cell r="B785" t="str">
            <v xml:space="preserve">CARD KEY SYSTEM                                   </v>
          </cell>
          <cell r="C785" t="str">
            <v xml:space="preserve">FAB3~4                                            </v>
          </cell>
          <cell r="D785" t="str">
            <v xml:space="preserve">***               </v>
          </cell>
        </row>
        <row r="786">
          <cell r="B786" t="str">
            <v xml:space="preserve">PC(Desk Top)                                      </v>
          </cell>
          <cell r="C786" t="str">
            <v xml:space="preserve">PC                                                </v>
          </cell>
          <cell r="D786" t="str">
            <v xml:space="preserve">                  </v>
          </cell>
        </row>
        <row r="787">
          <cell r="B787" t="str">
            <v xml:space="preserve">PC(Desk Top)                                      </v>
          </cell>
          <cell r="C787" t="str">
            <v xml:space="preserve">PC                                                </v>
          </cell>
          <cell r="D787" t="str">
            <v xml:space="preserve">                  </v>
          </cell>
        </row>
        <row r="788">
          <cell r="B788" t="str">
            <v xml:space="preserve">PC(Desk Top)                                      </v>
          </cell>
          <cell r="C788" t="str">
            <v xml:space="preserve">Multicav Power                                    </v>
          </cell>
          <cell r="D788" t="str">
            <v xml:space="preserve">MA2NAC805031246   </v>
          </cell>
        </row>
        <row r="789">
          <cell r="B789" t="str">
            <v xml:space="preserve">PC(Desk Top)                                      </v>
          </cell>
          <cell r="C789" t="str">
            <v xml:space="preserve">Multicav Power                                    </v>
          </cell>
          <cell r="D789" t="str">
            <v xml:space="preserve">MA2NAC805031288   </v>
          </cell>
        </row>
        <row r="790">
          <cell r="B790" t="str">
            <v xml:space="preserve">PC(Desk Top)                                      </v>
          </cell>
          <cell r="C790" t="str">
            <v xml:space="preserve">Multicav Power                                    </v>
          </cell>
          <cell r="D790" t="str">
            <v xml:space="preserve">MA2NAC805031274   </v>
          </cell>
        </row>
        <row r="791">
          <cell r="B791" t="str">
            <v xml:space="preserve">정수기                                            </v>
          </cell>
          <cell r="C791" t="str">
            <v xml:space="preserve">EMI-CWR                                           </v>
          </cell>
          <cell r="D791" t="str">
            <v xml:space="preserve">                  </v>
          </cell>
        </row>
        <row r="792">
          <cell r="B792" t="str">
            <v xml:space="preserve">PC(Desk Top)                                      </v>
          </cell>
          <cell r="C792" t="str">
            <v xml:space="preserve">HPC-N2100                                         </v>
          </cell>
          <cell r="D792" t="str">
            <v xml:space="preserve">MA2LAA011040499   </v>
          </cell>
        </row>
        <row r="793">
          <cell r="B793" t="str">
            <v xml:space="preserve">냉장고                                            </v>
          </cell>
          <cell r="C793" t="str">
            <v xml:space="preserve">R-B14CD                                           </v>
          </cell>
          <cell r="D793" t="str">
            <v xml:space="preserve">                  </v>
          </cell>
        </row>
        <row r="794">
          <cell r="B794" t="str">
            <v xml:space="preserve">GAS BOTTLE 보관함                                 </v>
          </cell>
          <cell r="C794" t="str">
            <v xml:space="preserve">COMMON                                            </v>
          </cell>
          <cell r="D794" t="str">
            <v xml:space="preserve">                  </v>
          </cell>
        </row>
        <row r="795">
          <cell r="B795" t="str">
            <v xml:space="preserve">모니터                                            </v>
          </cell>
          <cell r="C795" t="str">
            <v xml:space="preserve">HCM-5870LA                                        </v>
          </cell>
          <cell r="D795" t="str">
            <v xml:space="preserve">MEIDM708200357    </v>
          </cell>
        </row>
        <row r="796">
          <cell r="B796" t="str">
            <v xml:space="preserve">PC(Desk Top)                                      </v>
          </cell>
          <cell r="C796" t="str">
            <v xml:space="preserve">HPC-E75213                                        </v>
          </cell>
          <cell r="D796" t="str">
            <v xml:space="preserve">SAS6AF097700392   </v>
          </cell>
        </row>
        <row r="797">
          <cell r="B797" t="str">
            <v xml:space="preserve">LOT 보관함                                        </v>
          </cell>
          <cell r="C797" t="str">
            <v xml:space="preserve">1700*500*900                                      </v>
          </cell>
          <cell r="D797" t="str">
            <v xml:space="preserve">                  </v>
          </cell>
        </row>
        <row r="798">
          <cell r="B798" t="str">
            <v xml:space="preserve">화장대                                            </v>
          </cell>
          <cell r="C798" t="str">
            <v xml:space="preserve">COMMON                                            </v>
          </cell>
          <cell r="D798" t="str">
            <v xml:space="preserve">                  </v>
          </cell>
        </row>
        <row r="799">
          <cell r="B799" t="str">
            <v xml:space="preserve">프린터                                            </v>
          </cell>
          <cell r="C799" t="str">
            <v xml:space="preserve">HP-4MV                                            </v>
          </cell>
          <cell r="D799" t="str">
            <v xml:space="preserve">JPFQ024397        </v>
          </cell>
        </row>
        <row r="800">
          <cell r="B800" t="str">
            <v xml:space="preserve">SHOES CABINET                                     </v>
          </cell>
          <cell r="C800" t="str">
            <v xml:space="preserve">1140*350*2000                                     </v>
          </cell>
          <cell r="D800" t="str">
            <v xml:space="preserve">                  </v>
          </cell>
        </row>
        <row r="801">
          <cell r="B801" t="str">
            <v xml:space="preserve">모니터                                            </v>
          </cell>
          <cell r="C801" t="str">
            <v xml:space="preserve">HCM-5848LF                                        </v>
          </cell>
          <cell r="D801" t="str">
            <v xml:space="preserve">MDWDM705409890    </v>
          </cell>
        </row>
        <row r="802">
          <cell r="B802" t="str">
            <v xml:space="preserve">모니터                                            </v>
          </cell>
          <cell r="C802" t="str">
            <v xml:space="preserve">HCM-5848LF                                        </v>
          </cell>
          <cell r="D802" t="str">
            <v xml:space="preserve">MDWDM705409894    </v>
          </cell>
        </row>
        <row r="803">
          <cell r="B803" t="str">
            <v xml:space="preserve">모니터                                            </v>
          </cell>
          <cell r="C803" t="str">
            <v xml:space="preserve">HCM-5848LF                                        </v>
          </cell>
          <cell r="D803" t="str">
            <v xml:space="preserve">MDWDM705409901    </v>
          </cell>
        </row>
        <row r="804">
          <cell r="B804" t="str">
            <v xml:space="preserve">PC(Desk Top)                                      </v>
          </cell>
          <cell r="C804" t="str">
            <v xml:space="preserve">HPC-W95313                                        </v>
          </cell>
          <cell r="D804" t="str">
            <v xml:space="preserve">SAN4AP397815535   </v>
          </cell>
        </row>
        <row r="805">
          <cell r="B805" t="str">
            <v xml:space="preserve">냉온수기                                          </v>
          </cell>
          <cell r="C805" t="str">
            <v xml:space="preserve">B5CH                                              </v>
          </cell>
          <cell r="D805" t="str">
            <v xml:space="preserve">                  </v>
          </cell>
        </row>
        <row r="806">
          <cell r="B806" t="str">
            <v xml:space="preserve">모니터                                            </v>
          </cell>
          <cell r="C806" t="str">
            <v xml:space="preserve">HCM-5870LA                                        </v>
          </cell>
          <cell r="D806" t="str">
            <v xml:space="preserve">MEIDM707410680    </v>
          </cell>
        </row>
        <row r="807">
          <cell r="B807" t="str">
            <v xml:space="preserve">모니터                                            </v>
          </cell>
          <cell r="C807" t="str">
            <v xml:space="preserve">HCM-5870LA                                        </v>
          </cell>
          <cell r="D807" t="str">
            <v xml:space="preserve">MEIDM707410692    </v>
          </cell>
        </row>
        <row r="808">
          <cell r="B808" t="str">
            <v xml:space="preserve">PC(Desk Top)                                      </v>
          </cell>
          <cell r="C808" t="str">
            <v xml:space="preserve">HPC-E75216                                        </v>
          </cell>
          <cell r="D808" t="str">
            <v xml:space="preserve">SAS6AE097799225   </v>
          </cell>
        </row>
        <row r="809">
          <cell r="B809" t="str">
            <v xml:space="preserve">PC(Desk Top)                                      </v>
          </cell>
          <cell r="C809" t="str">
            <v xml:space="preserve">HPC-E75216                                        </v>
          </cell>
          <cell r="D809" t="str">
            <v xml:space="preserve">SAS6AE097799224   </v>
          </cell>
        </row>
        <row r="810">
          <cell r="B810" t="str">
            <v xml:space="preserve">모니터                                            </v>
          </cell>
          <cell r="C810" t="str">
            <v xml:space="preserve">HCM-5848LF                                        </v>
          </cell>
          <cell r="D810" t="str">
            <v xml:space="preserve">MDWDM706410874    </v>
          </cell>
        </row>
        <row r="811">
          <cell r="B811" t="str">
            <v xml:space="preserve">모니터                                            </v>
          </cell>
          <cell r="C811" t="str">
            <v xml:space="preserve">HCM-5848LF                                        </v>
          </cell>
          <cell r="D811" t="str">
            <v xml:space="preserve">MDWDM706410885    </v>
          </cell>
        </row>
        <row r="812">
          <cell r="B812" t="str">
            <v xml:space="preserve">PPC550D                                           </v>
          </cell>
          <cell r="C812" t="str">
            <v xml:space="preserve">VELOZ-5050                                        </v>
          </cell>
          <cell r="D812">
            <v>97081501</v>
          </cell>
        </row>
        <row r="813">
          <cell r="B813" t="str">
            <v xml:space="preserve">냉온수기                                          </v>
          </cell>
          <cell r="C813" t="str">
            <v xml:space="preserve">B5CH                                              </v>
          </cell>
          <cell r="D813" t="str">
            <v xml:space="preserve">                  </v>
          </cell>
        </row>
        <row r="814">
          <cell r="B814" t="str">
            <v xml:space="preserve">모니터                                            </v>
          </cell>
          <cell r="C814" t="str">
            <v xml:space="preserve">HCM-5870LA                                        </v>
          </cell>
          <cell r="D814" t="str">
            <v xml:space="preserve">MEIDM704406438    </v>
          </cell>
        </row>
        <row r="815">
          <cell r="B815" t="str">
            <v xml:space="preserve">모니터                                            </v>
          </cell>
          <cell r="C815" t="str">
            <v xml:space="preserve">HCM-7870LA                                        </v>
          </cell>
          <cell r="D815" t="str">
            <v xml:space="preserve">MEMDM705304026    </v>
          </cell>
        </row>
        <row r="816">
          <cell r="B816" t="str">
            <v xml:space="preserve">모니터                                            </v>
          </cell>
          <cell r="C816" t="str">
            <v xml:space="preserve">HCM-5870LA                                        </v>
          </cell>
          <cell r="D816" t="str">
            <v xml:space="preserve">MEIDM704406454    </v>
          </cell>
        </row>
        <row r="817">
          <cell r="B817" t="str">
            <v xml:space="preserve">모니터                                            </v>
          </cell>
          <cell r="C817" t="str">
            <v xml:space="preserve">HCM-5870LA                                        </v>
          </cell>
          <cell r="D817" t="str">
            <v xml:space="preserve">MEIDM704406456    </v>
          </cell>
        </row>
        <row r="818">
          <cell r="B818" t="str">
            <v xml:space="preserve">모니터                                            </v>
          </cell>
          <cell r="C818" t="str">
            <v xml:space="preserve">HCM-5870LA                                        </v>
          </cell>
          <cell r="D818" t="str">
            <v xml:space="preserve">MEIDM704406455    </v>
          </cell>
        </row>
        <row r="819">
          <cell r="B819" t="str">
            <v xml:space="preserve">PC(Desk Top)                                      </v>
          </cell>
          <cell r="C819" t="str">
            <v xml:space="preserve">HPC-P95213                                        </v>
          </cell>
          <cell r="D819" t="str">
            <v xml:space="preserve">SA04A4097502338   </v>
          </cell>
        </row>
        <row r="820">
          <cell r="B820" t="str">
            <v xml:space="preserve">PC(Desk Top)                                      </v>
          </cell>
          <cell r="C820" t="str">
            <v xml:space="preserve">HPC-P95213                                        </v>
          </cell>
          <cell r="D820" t="str">
            <v xml:space="preserve">SA04A4097502341   </v>
          </cell>
        </row>
        <row r="821">
          <cell r="B821" t="str">
            <v xml:space="preserve">PC(Desk Top)                                      </v>
          </cell>
          <cell r="C821" t="str">
            <v xml:space="preserve">HPC-P95213                                        </v>
          </cell>
          <cell r="D821" t="str">
            <v xml:space="preserve">SA04A409750233    </v>
          </cell>
        </row>
        <row r="822">
          <cell r="B822" t="str">
            <v xml:space="preserve">PRAT STRAGE BOX                                   </v>
          </cell>
          <cell r="C822" t="str">
            <v xml:space="preserve">2400*700*1800                                     </v>
          </cell>
          <cell r="D822" t="str">
            <v xml:space="preserve">                  </v>
          </cell>
        </row>
        <row r="823">
          <cell r="B823" t="str">
            <v xml:space="preserve">모니터                                            </v>
          </cell>
          <cell r="C823" t="str">
            <v xml:space="preserve">HCM-5870LA                                        </v>
          </cell>
          <cell r="D823" t="str">
            <v xml:space="preserve">MEIDM703404354    </v>
          </cell>
        </row>
        <row r="824">
          <cell r="B824" t="str">
            <v xml:space="preserve">PC(Desk Top)                                      </v>
          </cell>
          <cell r="C824" t="str">
            <v xml:space="preserve">HPC-P95213                                        </v>
          </cell>
          <cell r="D824" t="str">
            <v xml:space="preserve">SO4E307301893     </v>
          </cell>
        </row>
        <row r="825">
          <cell r="B825" t="str">
            <v xml:space="preserve">여사원 칸막이                                     </v>
          </cell>
          <cell r="C825" t="str">
            <v xml:space="preserve">1400*1700*500                                     </v>
          </cell>
          <cell r="D825" t="str">
            <v xml:space="preserve">                  </v>
          </cell>
        </row>
        <row r="826">
          <cell r="B826" t="str">
            <v xml:space="preserve">FURNACE용 발판                                    </v>
          </cell>
          <cell r="C826" t="str">
            <v xml:space="preserve">500*550*600                                       </v>
          </cell>
          <cell r="D826" t="str">
            <v xml:space="preserve">                  </v>
          </cell>
        </row>
        <row r="827">
          <cell r="B827" t="str">
            <v xml:space="preserve">RUN SHEET 보관함                                  </v>
          </cell>
          <cell r="C827" t="str">
            <v xml:space="preserve">300*400*750                                       </v>
          </cell>
          <cell r="D827" t="str">
            <v xml:space="preserve">                  </v>
          </cell>
        </row>
        <row r="828">
          <cell r="B828" t="str">
            <v xml:space="preserve">RUN WAFER SHELF                                   </v>
          </cell>
          <cell r="C828" t="str">
            <v xml:space="preserve">900*600*1600                                      </v>
          </cell>
          <cell r="D828" t="str">
            <v xml:space="preserve">                  </v>
          </cell>
        </row>
        <row r="829">
          <cell r="B829" t="str">
            <v xml:space="preserve">CLEAN ROOM 실내화장                               </v>
          </cell>
          <cell r="C829" t="str">
            <v xml:space="preserve">COMMON                                            </v>
          </cell>
          <cell r="D829" t="str">
            <v xml:space="preserve">                  </v>
          </cell>
        </row>
        <row r="830">
          <cell r="B830" t="str">
            <v xml:space="preserve">전자저울                                          </v>
          </cell>
          <cell r="C830" t="str">
            <v xml:space="preserve">PLATFORM                                          </v>
          </cell>
          <cell r="D830" t="str">
            <v xml:space="preserve">                  </v>
          </cell>
        </row>
        <row r="831">
          <cell r="B831" t="str">
            <v xml:space="preserve">양식함                                            </v>
          </cell>
          <cell r="C831" t="str">
            <v xml:space="preserve">10단2행                                           </v>
          </cell>
          <cell r="D831" t="str">
            <v xml:space="preserve">                  </v>
          </cell>
        </row>
        <row r="832">
          <cell r="B832" t="str">
            <v xml:space="preserve">캐비닛                                            </v>
          </cell>
          <cell r="C832" t="str">
            <v xml:space="preserve">하단                                              </v>
          </cell>
          <cell r="D832" t="str">
            <v xml:space="preserve">                  </v>
          </cell>
        </row>
        <row r="833">
          <cell r="B833" t="str">
            <v xml:space="preserve">PRINTER 보관함                                    </v>
          </cell>
          <cell r="C833" t="str">
            <v xml:space="preserve">650*400*760                                       </v>
          </cell>
          <cell r="D833" t="str">
            <v xml:space="preserve">                  </v>
          </cell>
        </row>
        <row r="834">
          <cell r="B834" t="str">
            <v xml:space="preserve">BOX 보관함                                        </v>
          </cell>
          <cell r="C834" t="str">
            <v xml:space="preserve">420*250*760                                       </v>
          </cell>
          <cell r="D834" t="str">
            <v xml:space="preserve">                  </v>
          </cell>
        </row>
        <row r="835">
          <cell r="B835" t="str">
            <v xml:space="preserve">SCOPE용 받침대                                    </v>
          </cell>
          <cell r="C835" t="str">
            <v xml:space="preserve">500*300*200                                       </v>
          </cell>
          <cell r="D835" t="str">
            <v xml:space="preserve">                  </v>
          </cell>
        </row>
        <row r="836">
          <cell r="B836" t="str">
            <v xml:space="preserve">CART                                              </v>
          </cell>
          <cell r="C836" t="str">
            <v xml:space="preserve">650*450*1000                                      </v>
          </cell>
          <cell r="D836" t="str">
            <v xml:space="preserve">                  </v>
          </cell>
        </row>
        <row r="837">
          <cell r="B837" t="str">
            <v xml:space="preserve">분리수거함                                        </v>
          </cell>
          <cell r="C837" t="str">
            <v xml:space="preserve">COMMON                                            </v>
          </cell>
          <cell r="D837" t="str">
            <v xml:space="preserve">                  </v>
          </cell>
        </row>
        <row r="838">
          <cell r="B838" t="str">
            <v xml:space="preserve">SHOES CABINET                                     </v>
          </cell>
          <cell r="C838" t="str">
            <v xml:space="preserve">1000*400*2000                                     </v>
          </cell>
          <cell r="D838" t="str">
            <v xml:space="preserve">                  </v>
          </cell>
        </row>
        <row r="839">
          <cell r="B839" t="str">
            <v xml:space="preserve">모니터                                            </v>
          </cell>
          <cell r="C839" t="str">
            <v xml:space="preserve">HCM-4860NE                                        </v>
          </cell>
          <cell r="D839" t="str">
            <v xml:space="preserve">MDSDM610225773    </v>
          </cell>
        </row>
        <row r="840">
          <cell r="B840" t="str">
            <v xml:space="preserve">TERMINAL 받침대                                   </v>
          </cell>
          <cell r="C840" t="str">
            <v xml:space="preserve">750*300*170                                       </v>
          </cell>
          <cell r="D840" t="str">
            <v xml:space="preserve">                  </v>
          </cell>
        </row>
        <row r="841">
          <cell r="B841" t="str">
            <v xml:space="preserve">MASK 보관 수거함                                  </v>
          </cell>
          <cell r="C841" t="str">
            <v xml:space="preserve">800*600*1200                                      </v>
          </cell>
          <cell r="D841" t="str">
            <v xml:space="preserve">                  </v>
          </cell>
        </row>
        <row r="842">
          <cell r="B842" t="str">
            <v xml:space="preserve">GARMENT 보관수거함                                </v>
          </cell>
          <cell r="C842" t="str">
            <v xml:space="preserve">1980*750*1200                                     </v>
          </cell>
          <cell r="D842" t="str">
            <v xml:space="preserve">                  </v>
          </cell>
        </row>
        <row r="843">
          <cell r="B843" t="str">
            <v xml:space="preserve">SHOES CABINET                                     </v>
          </cell>
          <cell r="C843" t="str">
            <v xml:space="preserve">1000*400*2000                                     </v>
          </cell>
          <cell r="D843" t="str">
            <v xml:space="preserve">                  </v>
          </cell>
        </row>
        <row r="844">
          <cell r="B844" t="str">
            <v xml:space="preserve">SMOCK 걸이대                                      </v>
          </cell>
          <cell r="C844" t="str">
            <v xml:space="preserve">남자용                                            </v>
          </cell>
          <cell r="D844" t="str">
            <v xml:space="preserve">                  </v>
          </cell>
        </row>
        <row r="845">
          <cell r="B845" t="str">
            <v xml:space="preserve">SMOCK 걸이대                                      </v>
          </cell>
          <cell r="C845" t="str">
            <v xml:space="preserve">여자용                                            </v>
          </cell>
          <cell r="D845" t="str">
            <v xml:space="preserve">                  </v>
          </cell>
        </row>
        <row r="846">
          <cell r="B846" t="str">
            <v xml:space="preserve">모니터                                            </v>
          </cell>
          <cell r="C846" t="str">
            <v xml:space="preserve">HCM-7870LA                                        </v>
          </cell>
          <cell r="D846" t="str">
            <v xml:space="preserve">MEMDM611300916    </v>
          </cell>
        </row>
        <row r="847">
          <cell r="B847" t="str">
            <v xml:space="preserve">모니터                                            </v>
          </cell>
          <cell r="C847" t="str">
            <v xml:space="preserve">HCM-7870LA                                        </v>
          </cell>
          <cell r="D847" t="str">
            <v xml:space="preserve">MEMDM611300910    </v>
          </cell>
        </row>
        <row r="848">
          <cell r="B848" t="str">
            <v xml:space="preserve">모니터                                            </v>
          </cell>
          <cell r="C848" t="str">
            <v xml:space="preserve">HCM-5864LE                                        </v>
          </cell>
          <cell r="D848" t="str">
            <v xml:space="preserve">MDGDM509103081    </v>
          </cell>
        </row>
        <row r="849">
          <cell r="B849" t="str">
            <v xml:space="preserve">모니터                                            </v>
          </cell>
          <cell r="C849" t="str">
            <v xml:space="preserve">HCM-5864LE                                        </v>
          </cell>
          <cell r="D849" t="str">
            <v xml:space="preserve">MDGDM509103094    </v>
          </cell>
        </row>
        <row r="850">
          <cell r="B850" t="str">
            <v xml:space="preserve">모니터                                            </v>
          </cell>
          <cell r="C850" t="str">
            <v xml:space="preserve">HCM-5864LE                                        </v>
          </cell>
          <cell r="D850" t="str">
            <v xml:space="preserve">MDGDM509102078    </v>
          </cell>
        </row>
        <row r="851">
          <cell r="B851" t="str">
            <v xml:space="preserve">PC(Desk Top)                                      </v>
          </cell>
          <cell r="C851" t="str">
            <v xml:space="preserve">HPC-M95212                                        </v>
          </cell>
          <cell r="D851" t="str">
            <v xml:space="preserve">SN6EA06A00279     </v>
          </cell>
        </row>
        <row r="852">
          <cell r="B852" t="str">
            <v xml:space="preserve">PC(Desk Top)                                      </v>
          </cell>
          <cell r="C852" t="str">
            <v xml:space="preserve">HPC-M95212                                        </v>
          </cell>
          <cell r="D852" t="str">
            <v xml:space="preserve">SN6EA06A00270     </v>
          </cell>
        </row>
        <row r="853">
          <cell r="B853" t="str">
            <v xml:space="preserve">RUN SHEET보관함                                   </v>
          </cell>
          <cell r="C853" t="str">
            <v xml:space="preserve">320*360*660                                       </v>
          </cell>
          <cell r="D853" t="str">
            <v xml:space="preserve">                  </v>
          </cell>
        </row>
        <row r="854">
          <cell r="B854" t="str">
            <v xml:space="preserve">자재보관함                                        </v>
          </cell>
          <cell r="C854" t="str">
            <v xml:space="preserve">370*360*360                                       </v>
          </cell>
          <cell r="D854" t="str">
            <v xml:space="preserve">                  </v>
          </cell>
        </row>
        <row r="855">
          <cell r="B855" t="str">
            <v xml:space="preserve">비품보관함                                        </v>
          </cell>
          <cell r="C855" t="str">
            <v xml:space="preserve">900*500*1860                                      </v>
          </cell>
          <cell r="D855" t="str">
            <v xml:space="preserve">                  </v>
          </cell>
        </row>
        <row r="856">
          <cell r="B856" t="str">
            <v xml:space="preserve">모니터                                            </v>
          </cell>
          <cell r="C856" t="str">
            <v xml:space="preserve">HCM-4860NE                                        </v>
          </cell>
          <cell r="D856" t="str">
            <v xml:space="preserve">MDGDM609219377    </v>
          </cell>
        </row>
        <row r="857">
          <cell r="B857" t="str">
            <v xml:space="preserve">모니터                                            </v>
          </cell>
          <cell r="C857" t="str">
            <v xml:space="preserve">HCM-4860NE                                        </v>
          </cell>
          <cell r="D857" t="str">
            <v xml:space="preserve">MDGDM609219280    </v>
          </cell>
        </row>
        <row r="858">
          <cell r="B858" t="str">
            <v xml:space="preserve">모니터                                            </v>
          </cell>
          <cell r="C858" t="str">
            <v xml:space="preserve">HCM-4860NE                                        </v>
          </cell>
          <cell r="D858" t="str">
            <v xml:space="preserve">MDGDM609219283    </v>
          </cell>
        </row>
        <row r="859">
          <cell r="B859" t="str">
            <v xml:space="preserve">모니터                                            </v>
          </cell>
          <cell r="C859" t="str">
            <v xml:space="preserve">HCM-4860NE                                        </v>
          </cell>
          <cell r="D859" t="str">
            <v xml:space="preserve">MDGDM609219275    </v>
          </cell>
        </row>
        <row r="860">
          <cell r="B860" t="str">
            <v xml:space="preserve">모니터                                            </v>
          </cell>
          <cell r="C860" t="str">
            <v xml:space="preserve">HCM-4860NE                                        </v>
          </cell>
          <cell r="D860" t="str">
            <v xml:space="preserve">MDGDM609219277    </v>
          </cell>
        </row>
        <row r="861">
          <cell r="B861" t="str">
            <v xml:space="preserve">PC(Desk Top)                                      </v>
          </cell>
          <cell r="C861" t="str">
            <v xml:space="preserve">HPC-W95313                                        </v>
          </cell>
          <cell r="D861" t="str">
            <v xml:space="preserve">SN4EA06A00327     </v>
          </cell>
        </row>
        <row r="862">
          <cell r="B862" t="str">
            <v xml:space="preserve">PC(Desk Top)                                      </v>
          </cell>
          <cell r="C862" t="str">
            <v xml:space="preserve">HPC-W95313                                        </v>
          </cell>
          <cell r="D862" t="str">
            <v xml:space="preserve">SN4EA06A00295     </v>
          </cell>
        </row>
        <row r="863">
          <cell r="B863" t="str">
            <v xml:space="preserve">PC(Desk Top)                                      </v>
          </cell>
          <cell r="C863" t="str">
            <v xml:space="preserve">HPC-W95313                                        </v>
          </cell>
          <cell r="D863" t="str">
            <v xml:space="preserve">SN4EA06A00301     </v>
          </cell>
        </row>
        <row r="864">
          <cell r="B864" t="str">
            <v xml:space="preserve">PC(Desk Top)                                      </v>
          </cell>
          <cell r="C864" t="str">
            <v xml:space="preserve">HPC-W95313                                        </v>
          </cell>
          <cell r="D864" t="str">
            <v xml:space="preserve">SN4EA06A00294     </v>
          </cell>
        </row>
        <row r="865">
          <cell r="B865" t="str">
            <v xml:space="preserve">화장대                                            </v>
          </cell>
          <cell r="C865" t="str">
            <v xml:space="preserve">COMMON                                            </v>
          </cell>
          <cell r="D865" t="str">
            <v xml:space="preserve">                  </v>
          </cell>
        </row>
        <row r="866">
          <cell r="B866" t="str">
            <v xml:space="preserve">SMOCK걸이대                                       </v>
          </cell>
          <cell r="C866" t="str">
            <v xml:space="preserve">20인용                                            </v>
          </cell>
          <cell r="D866" t="str">
            <v xml:space="preserve">                  </v>
          </cell>
        </row>
        <row r="867">
          <cell r="B867" t="str">
            <v xml:space="preserve">SMOCK걸이대                                       </v>
          </cell>
          <cell r="C867" t="str">
            <v xml:space="preserve">60인용                                            </v>
          </cell>
          <cell r="D867" t="str">
            <v xml:space="preserve">                  </v>
          </cell>
        </row>
        <row r="868">
          <cell r="B868" t="str">
            <v xml:space="preserve">BOX CARRIER CART                                  </v>
          </cell>
          <cell r="C868" t="str">
            <v xml:space="preserve">800*500*1400                                      </v>
          </cell>
          <cell r="D868" t="str">
            <v xml:space="preserve">                  </v>
          </cell>
        </row>
        <row r="869">
          <cell r="B869" t="str">
            <v xml:space="preserve">LINE CLEAN용 발판                                 </v>
          </cell>
          <cell r="C869" t="str">
            <v xml:space="preserve">300*400*900                                       </v>
          </cell>
          <cell r="D869" t="str">
            <v xml:space="preserve">                  </v>
          </cell>
        </row>
        <row r="870">
          <cell r="B870" t="str">
            <v xml:space="preserve">모니터 RACK                                       </v>
          </cell>
          <cell r="C870" t="str">
            <v xml:space="preserve">COMMON                                            </v>
          </cell>
          <cell r="D870" t="str">
            <v xml:space="preserve">                  </v>
          </cell>
        </row>
        <row r="871">
          <cell r="B871" t="str">
            <v xml:space="preserve">PART STORAGE BOX                                  </v>
          </cell>
          <cell r="C871" t="str">
            <v xml:space="preserve">COMMON                                            </v>
          </cell>
          <cell r="D871" t="str">
            <v xml:space="preserve">                  </v>
          </cell>
        </row>
        <row r="872">
          <cell r="B872" t="str">
            <v xml:space="preserve">C/R용 분리수거함                                  </v>
          </cell>
          <cell r="C872" t="str">
            <v xml:space="preserve">1275*570*720                                      </v>
          </cell>
          <cell r="D872" t="str">
            <v xml:space="preserve">CLEAN ROOM        </v>
          </cell>
        </row>
        <row r="873">
          <cell r="B873" t="str">
            <v xml:space="preserve">분리수거 폐기함                                   </v>
          </cell>
          <cell r="C873" t="str">
            <v xml:space="preserve">1500*900*900                                      </v>
          </cell>
          <cell r="D873" t="str">
            <v xml:space="preserve">                  </v>
          </cell>
        </row>
        <row r="874">
          <cell r="B874" t="str">
            <v xml:space="preserve">GARMENT CABINET                                   </v>
          </cell>
          <cell r="C874" t="str">
            <v xml:space="preserve">680*400*660                                       </v>
          </cell>
          <cell r="D874" t="str">
            <v xml:space="preserve">                  </v>
          </cell>
        </row>
        <row r="875">
          <cell r="B875" t="str">
            <v xml:space="preserve">GARMENT CABINET                                   </v>
          </cell>
          <cell r="C875" t="str">
            <v xml:space="preserve">1300*400*800                                      </v>
          </cell>
          <cell r="D875" t="str">
            <v xml:space="preserve">                  </v>
          </cell>
        </row>
        <row r="876">
          <cell r="B876" t="str">
            <v xml:space="preserve">신발장                                            </v>
          </cell>
          <cell r="C876" t="str">
            <v xml:space="preserve">1000*300*1850                                     </v>
          </cell>
          <cell r="D876" t="str">
            <v xml:space="preserve">                  </v>
          </cell>
        </row>
        <row r="877">
          <cell r="B877" t="str">
            <v xml:space="preserve">모니터                                            </v>
          </cell>
          <cell r="C877" t="str">
            <v xml:space="preserve">HCM-4860NE                                        </v>
          </cell>
          <cell r="D877" t="str">
            <v xml:space="preserve">MDSDM609220449    </v>
          </cell>
        </row>
        <row r="878">
          <cell r="B878" t="str">
            <v xml:space="preserve">프린터                                            </v>
          </cell>
          <cell r="C878" t="str">
            <v xml:space="preserve">LASER JET 4MV                                     </v>
          </cell>
          <cell r="D878" t="str">
            <v xml:space="preserve">JPF005775         </v>
          </cell>
        </row>
        <row r="879">
          <cell r="B879" t="str">
            <v xml:space="preserve">CART                                              </v>
          </cell>
          <cell r="C879" t="str">
            <v xml:space="preserve">650*450*1000                                      </v>
          </cell>
          <cell r="D879" t="str">
            <v xml:space="preserve">                  </v>
          </cell>
        </row>
        <row r="880">
          <cell r="B880" t="str">
            <v xml:space="preserve">프린터                                            </v>
          </cell>
          <cell r="C880" t="str">
            <v xml:space="preserve">HIP-6420D                                         </v>
          </cell>
          <cell r="D880" t="str">
            <v xml:space="preserve">HD6A050705        </v>
          </cell>
        </row>
        <row r="881">
          <cell r="B881" t="str">
            <v xml:space="preserve">CART                                              </v>
          </cell>
          <cell r="C881" t="str">
            <v xml:space="preserve">1100*600*700                                      </v>
          </cell>
          <cell r="D881" t="str">
            <v xml:space="preserve">                  </v>
          </cell>
        </row>
        <row r="882">
          <cell r="B882" t="str">
            <v xml:space="preserve">CART                                              </v>
          </cell>
          <cell r="C882" t="str">
            <v xml:space="preserve">800*600*700                                       </v>
          </cell>
          <cell r="D882" t="str">
            <v xml:space="preserve">                  </v>
          </cell>
        </row>
        <row r="883">
          <cell r="B883" t="str">
            <v xml:space="preserve">DIGITAL CAMERA                                    </v>
          </cell>
          <cell r="C883" t="str">
            <v xml:space="preserve">KODAC DC-50                                       </v>
          </cell>
          <cell r="D883" t="str">
            <v xml:space="preserve">2KA62302043       </v>
          </cell>
        </row>
        <row r="884">
          <cell r="B884" t="str">
            <v xml:space="preserve">CAM CORDER                                        </v>
          </cell>
          <cell r="C884" t="str">
            <v xml:space="preserve">SV-H38                                            </v>
          </cell>
          <cell r="D884" t="str">
            <v xml:space="preserve">67CFC01465        </v>
          </cell>
        </row>
        <row r="885">
          <cell r="B885" t="str">
            <v xml:space="preserve">３단서랍박스                                      </v>
          </cell>
          <cell r="C885" t="str">
            <v xml:space="preserve">DB2930B                                           </v>
          </cell>
          <cell r="D885" t="str">
            <v xml:space="preserve">C60904            </v>
          </cell>
        </row>
        <row r="886">
          <cell r="B886" t="str">
            <v xml:space="preserve">책상                                              </v>
          </cell>
          <cell r="C886" t="str">
            <v xml:space="preserve">SD2940                                            </v>
          </cell>
          <cell r="D886" t="str">
            <v xml:space="preserve">C60904            </v>
          </cell>
        </row>
        <row r="887">
          <cell r="B887" t="str">
            <v xml:space="preserve">프린터                                            </v>
          </cell>
          <cell r="C887" t="str">
            <v xml:space="preserve">LASERJET 5/5M                                     </v>
          </cell>
          <cell r="D887" t="str">
            <v xml:space="preserve">JPDF173331        </v>
          </cell>
        </row>
        <row r="888">
          <cell r="B888" t="str">
            <v xml:space="preserve">INJECTOR SHELF                                    </v>
          </cell>
          <cell r="C888" t="str">
            <v xml:space="preserve">550*1620*1710                                     </v>
          </cell>
          <cell r="D888" t="str">
            <v xml:space="preserve">                  </v>
          </cell>
        </row>
        <row r="889">
          <cell r="B889" t="str">
            <v xml:space="preserve">INJECTOR SHELF                                    </v>
          </cell>
          <cell r="C889" t="str">
            <v xml:space="preserve">480*1905*1190                                     </v>
          </cell>
          <cell r="D889" t="str">
            <v xml:space="preserve">                  </v>
          </cell>
        </row>
        <row r="890">
          <cell r="B890" t="str">
            <v xml:space="preserve">INJECTOR SHELF                                    </v>
          </cell>
          <cell r="C890" t="str">
            <v xml:space="preserve">550*1620*870                                      </v>
          </cell>
          <cell r="D890" t="str">
            <v xml:space="preserve">                  </v>
          </cell>
        </row>
        <row r="891">
          <cell r="B891" t="str">
            <v xml:space="preserve">INJECTOR CARRIER                                  </v>
          </cell>
          <cell r="C891" t="str">
            <v xml:space="preserve">480*816*610                                       </v>
          </cell>
          <cell r="D891" t="str">
            <v xml:space="preserve">                  </v>
          </cell>
        </row>
        <row r="892">
          <cell r="B892" t="str">
            <v xml:space="preserve">GAS BOTTLE RACK                                   </v>
          </cell>
          <cell r="C892" t="str">
            <v xml:space="preserve">COMMON                                            </v>
          </cell>
          <cell r="D892" t="str">
            <v xml:space="preserve">                  </v>
          </cell>
        </row>
        <row r="893">
          <cell r="B893" t="str">
            <v xml:space="preserve">GAS BOTTLE CARRIER                                </v>
          </cell>
          <cell r="C893" t="str">
            <v xml:space="preserve">COMMON                                            </v>
          </cell>
          <cell r="D893" t="str">
            <v xml:space="preserve">                  </v>
          </cell>
        </row>
        <row r="894">
          <cell r="B894" t="str">
            <v xml:space="preserve">PC(Desk Top)                                      </v>
          </cell>
          <cell r="C894" t="str">
            <v xml:space="preserve">HPC-E475DX                                        </v>
          </cell>
          <cell r="D894" t="str">
            <v xml:space="preserve">SI6ED5A07916      </v>
          </cell>
        </row>
        <row r="895">
          <cell r="B895" t="str">
            <v xml:space="preserve">PC(Desk Top)                                      </v>
          </cell>
          <cell r="C895" t="str">
            <v xml:space="preserve">HPC-E475DX                                        </v>
          </cell>
          <cell r="D895" t="str">
            <v xml:space="preserve">SI6ED5A07905      </v>
          </cell>
        </row>
        <row r="896">
          <cell r="B896" t="str">
            <v xml:space="preserve">PC(Desk Top)                                      </v>
          </cell>
          <cell r="C896" t="str">
            <v xml:space="preserve">HPC-MM466D                                        </v>
          </cell>
          <cell r="D896" t="str">
            <v xml:space="preserve">SI5EA5602630      </v>
          </cell>
        </row>
        <row r="897">
          <cell r="B897" t="str">
            <v xml:space="preserve">프린터                                            </v>
          </cell>
          <cell r="C897" t="str">
            <v xml:space="preserve">HP 660K                                           </v>
          </cell>
          <cell r="D897" t="str">
            <v xml:space="preserve">SG57VIB0VD        </v>
          </cell>
        </row>
        <row r="898">
          <cell r="B898" t="str">
            <v xml:space="preserve">프린터                                            </v>
          </cell>
          <cell r="C898" t="str">
            <v xml:space="preserve">PS-4079                                           </v>
          </cell>
          <cell r="D898" t="str">
            <v xml:space="preserve">                  </v>
          </cell>
        </row>
        <row r="899">
          <cell r="B899" t="str">
            <v xml:space="preserve">프린터                                            </v>
          </cell>
          <cell r="C899" t="str">
            <v xml:space="preserve">QLBP SFIIIh                                       </v>
          </cell>
          <cell r="D899" t="str">
            <v xml:space="preserve">LBSC560022        </v>
          </cell>
        </row>
        <row r="900">
          <cell r="B900" t="str">
            <v xml:space="preserve">프린터                                            </v>
          </cell>
          <cell r="C900" t="str">
            <v xml:space="preserve">QLBP SFIIIh                                       </v>
          </cell>
          <cell r="D900" t="str">
            <v xml:space="preserve">LBSC56020         </v>
          </cell>
        </row>
        <row r="901">
          <cell r="B901" t="str">
            <v xml:space="preserve">프린터                                            </v>
          </cell>
          <cell r="C901" t="str">
            <v xml:space="preserve">C 2618A                                           </v>
          </cell>
          <cell r="D901" t="str">
            <v xml:space="preserve">                  </v>
          </cell>
        </row>
        <row r="902">
          <cell r="B902" t="str">
            <v xml:space="preserve">PC(Desk Top)                                      </v>
          </cell>
          <cell r="C902" t="str">
            <v xml:space="preserve">HPC-450SX                                         </v>
          </cell>
          <cell r="D902" t="str">
            <v xml:space="preserve">SI1EA4B00181      </v>
          </cell>
        </row>
        <row r="903">
          <cell r="B903" t="str">
            <v xml:space="preserve">팩시밀리                                          </v>
          </cell>
          <cell r="C903" t="str">
            <v xml:space="preserve">FAX321D                                           </v>
          </cell>
          <cell r="D903" t="str">
            <v xml:space="preserve">                  </v>
          </cell>
        </row>
        <row r="904">
          <cell r="B904" t="str">
            <v xml:space="preserve">프린터                                            </v>
          </cell>
          <cell r="C904" t="str">
            <v xml:space="preserve">HIP-6400KA                                        </v>
          </cell>
          <cell r="D904" t="str">
            <v xml:space="preserve">P30EA3C01723      </v>
          </cell>
        </row>
        <row r="905">
          <cell r="B905" t="str">
            <v xml:space="preserve">FAXSIMILE                                         </v>
          </cell>
          <cell r="C905" t="str">
            <v xml:space="preserve">STAFF6                                            </v>
          </cell>
          <cell r="D905" t="str">
            <v xml:space="preserve">                  </v>
          </cell>
        </row>
        <row r="906">
          <cell r="B906" t="str">
            <v xml:space="preserve">프린터                                            </v>
          </cell>
          <cell r="C906" t="str">
            <v xml:space="preserve">QLBP SFIII-H                                      </v>
          </cell>
          <cell r="D906" t="str">
            <v xml:space="preserve">                  </v>
          </cell>
        </row>
        <row r="907">
          <cell r="B907" t="str">
            <v xml:space="preserve">옷장                                              </v>
          </cell>
          <cell r="C907" t="str">
            <v xml:space="preserve">4인용                                             </v>
          </cell>
          <cell r="D907" t="str">
            <v xml:space="preserve">C-400539          </v>
          </cell>
        </row>
        <row r="908">
          <cell r="B908" t="str">
            <v xml:space="preserve">옷장                                              </v>
          </cell>
          <cell r="C908" t="str">
            <v xml:space="preserve">2단4인용                                          </v>
          </cell>
          <cell r="D908" t="str">
            <v xml:space="preserve">                  </v>
          </cell>
        </row>
        <row r="909">
          <cell r="B909" t="str">
            <v xml:space="preserve">옷장                                              </v>
          </cell>
          <cell r="C909" t="str">
            <v xml:space="preserve">2단4인용                                          </v>
          </cell>
          <cell r="D909" t="str">
            <v xml:space="preserve">                  </v>
          </cell>
        </row>
        <row r="910">
          <cell r="B910" t="str">
            <v xml:space="preserve">WATER COVER                                       </v>
          </cell>
          <cell r="C910" t="str">
            <v xml:space="preserve">1250*250                                          </v>
          </cell>
          <cell r="D910" t="str">
            <v xml:space="preserve">                  </v>
          </cell>
        </row>
        <row r="911">
          <cell r="B911" t="str">
            <v xml:space="preserve">GAS BOX                                           </v>
          </cell>
          <cell r="C911" t="str">
            <v xml:space="preserve">500*520*1250                                      </v>
          </cell>
          <cell r="D911" t="str">
            <v xml:space="preserve">                  </v>
          </cell>
        </row>
        <row r="912">
          <cell r="B912" t="str">
            <v xml:space="preserve">RUN SHEET보관함                                   </v>
          </cell>
          <cell r="C912" t="str">
            <v xml:space="preserve">6060*2240*540                                     </v>
          </cell>
          <cell r="D912" t="str">
            <v xml:space="preserve">                  </v>
          </cell>
        </row>
        <row r="913">
          <cell r="B913" t="str">
            <v xml:space="preserve">프린터                                            </v>
          </cell>
          <cell r="C913" t="str">
            <v xml:space="preserve">QLBP SF-III                                       </v>
          </cell>
          <cell r="D913" t="str">
            <v xml:space="preserve">                  </v>
          </cell>
        </row>
        <row r="914">
          <cell r="B914" t="str">
            <v xml:space="preserve">이면지절단기                                      </v>
          </cell>
          <cell r="C914" t="str">
            <v xml:space="preserve">APC-410                                           </v>
          </cell>
          <cell r="D914" t="str">
            <v xml:space="preserve">                  </v>
          </cell>
        </row>
        <row r="915">
          <cell r="B915" t="str">
            <v xml:space="preserve">HF GAS BOTTLE STORAGE BOX                         </v>
          </cell>
          <cell r="C915" t="str">
            <v xml:space="preserve">700*400*1000                                      </v>
          </cell>
          <cell r="D915" t="str">
            <v xml:space="preserve">                  </v>
          </cell>
        </row>
        <row r="916">
          <cell r="B916" t="str">
            <v xml:space="preserve">PART STORAGE BOX                                  </v>
          </cell>
          <cell r="C916" t="str">
            <v xml:space="preserve">1600*530*1800                                     </v>
          </cell>
          <cell r="D916" t="str">
            <v xml:space="preserve">                  </v>
          </cell>
        </row>
        <row r="917">
          <cell r="B917" t="str">
            <v xml:space="preserve">STORAGE BOX                                       </v>
          </cell>
          <cell r="C917" t="str">
            <v xml:space="preserve">1786*600*1830                                     </v>
          </cell>
          <cell r="D917" t="str">
            <v xml:space="preserve">                  </v>
          </cell>
        </row>
        <row r="918">
          <cell r="B918" t="str">
            <v xml:space="preserve">LOG SHEET 보관함                                  </v>
          </cell>
          <cell r="C918" t="str">
            <v xml:space="preserve">400*225*670                                       </v>
          </cell>
          <cell r="D918" t="str">
            <v xml:space="preserve">                  </v>
          </cell>
        </row>
        <row r="919">
          <cell r="B919" t="str">
            <v xml:space="preserve">RUN SHEET 보관함                                  </v>
          </cell>
          <cell r="C919" t="str">
            <v xml:space="preserve">400*220*620                                       </v>
          </cell>
          <cell r="D919" t="str">
            <v xml:space="preserve">                  </v>
          </cell>
        </row>
        <row r="920">
          <cell r="B920" t="str">
            <v xml:space="preserve">전화기(일반)                                      </v>
          </cell>
          <cell r="C920" t="str">
            <v xml:space="preserve">HD-G70                                            </v>
          </cell>
          <cell r="D920" t="str">
            <v xml:space="preserve">                  </v>
          </cell>
        </row>
        <row r="921">
          <cell r="B921" t="str">
            <v xml:space="preserve">프린터                                            </v>
          </cell>
          <cell r="C921" t="str">
            <v xml:space="preserve">HIP-6400K                                         </v>
          </cell>
          <cell r="D921" t="str">
            <v xml:space="preserve">P30EA3C01605      </v>
          </cell>
        </row>
        <row r="922">
          <cell r="B922" t="str">
            <v xml:space="preserve">프린터                                            </v>
          </cell>
          <cell r="C922" t="str">
            <v xml:space="preserve">QNIX-SF3                                          </v>
          </cell>
          <cell r="D922" t="str">
            <v xml:space="preserve">                  </v>
          </cell>
        </row>
        <row r="923">
          <cell r="B923" t="str">
            <v xml:space="preserve">프린터                                            </v>
          </cell>
          <cell r="C923" t="str">
            <v xml:space="preserve">HL-4011S                                          </v>
          </cell>
          <cell r="D923">
            <v>890422</v>
          </cell>
        </row>
        <row r="924">
          <cell r="B924" t="str">
            <v xml:space="preserve">프린터                                            </v>
          </cell>
          <cell r="C924" t="str">
            <v xml:space="preserve">HL-4011S                                          </v>
          </cell>
          <cell r="D924">
            <v>890454</v>
          </cell>
        </row>
        <row r="925">
          <cell r="B925" t="str">
            <v xml:space="preserve">프린터                                            </v>
          </cell>
          <cell r="C925" t="str">
            <v xml:space="preserve">LA380                                             </v>
          </cell>
          <cell r="D925" t="str">
            <v xml:space="preserve">                  </v>
          </cell>
        </row>
        <row r="926">
          <cell r="B926" t="str">
            <v xml:space="preserve">프린터                                            </v>
          </cell>
          <cell r="C926" t="str">
            <v xml:space="preserve">POSLBP 4000                                       </v>
          </cell>
          <cell r="D926" t="str">
            <v xml:space="preserve">                  </v>
          </cell>
        </row>
        <row r="927">
          <cell r="B927" t="str">
            <v xml:space="preserve">SMOCK HANGER                                      </v>
          </cell>
          <cell r="C927" t="str">
            <v xml:space="preserve">3900*1900*2000                                    </v>
          </cell>
          <cell r="D927" t="str">
            <v xml:space="preserve">                  </v>
          </cell>
        </row>
        <row r="928">
          <cell r="B928" t="str">
            <v xml:space="preserve">Scanner                                           </v>
          </cell>
          <cell r="C928" t="str">
            <v xml:space="preserve">GT-6500                                           </v>
          </cell>
          <cell r="D928" t="str">
            <v xml:space="preserve">1JM0000496        </v>
          </cell>
        </row>
        <row r="929">
          <cell r="B929" t="str">
            <v xml:space="preserve">프린터                                            </v>
          </cell>
          <cell r="C929" t="str">
            <v xml:space="preserve">QLBPSF3                                           </v>
          </cell>
          <cell r="D929" t="str">
            <v xml:space="preserve">                  </v>
          </cell>
        </row>
        <row r="930">
          <cell r="B930" t="str">
            <v xml:space="preserve">COMPUTER                                          </v>
          </cell>
          <cell r="C930" t="str">
            <v xml:space="preserve">GROUP CONTROLL                                    </v>
          </cell>
          <cell r="D930" t="str">
            <v xml:space="preserve">KA306FB717        </v>
          </cell>
        </row>
        <row r="931">
          <cell r="B931" t="str">
            <v xml:space="preserve">프린터                                            </v>
          </cell>
          <cell r="C931" t="str">
            <v xml:space="preserve">QLBP SF-III                                       </v>
          </cell>
          <cell r="D931" t="str">
            <v xml:space="preserve">                  </v>
          </cell>
        </row>
        <row r="932">
          <cell r="B932" t="str">
            <v xml:space="preserve">프린터                                            </v>
          </cell>
          <cell r="C932" t="str">
            <v xml:space="preserve">M-8400                                            </v>
          </cell>
          <cell r="D932" t="str">
            <v xml:space="preserve">                  </v>
          </cell>
        </row>
        <row r="933">
          <cell r="B933" t="str">
            <v xml:space="preserve">전화기(일반)                                      </v>
          </cell>
          <cell r="C933" t="str">
            <v xml:space="preserve">HD-460S                                           </v>
          </cell>
          <cell r="D933" t="str">
            <v xml:space="preserve">                  </v>
          </cell>
        </row>
        <row r="934">
          <cell r="B934" t="str">
            <v xml:space="preserve">VAX STATION                                       </v>
          </cell>
          <cell r="C934" t="str">
            <v xml:space="preserve">VAX 6610                                          </v>
          </cell>
          <cell r="D934" t="str">
            <v xml:space="preserve">GA319H2458        </v>
          </cell>
        </row>
        <row r="935">
          <cell r="B935" t="str">
            <v xml:space="preserve">프린터                                            </v>
          </cell>
          <cell r="C935" t="str">
            <v xml:space="preserve">HLP-8000                                          </v>
          </cell>
          <cell r="D935">
            <v>21290020</v>
          </cell>
        </row>
        <row r="936">
          <cell r="B936" t="str">
            <v xml:space="preserve">프린터                                            </v>
          </cell>
          <cell r="C936" t="str">
            <v xml:space="preserve">HDP-2480K0                                        </v>
          </cell>
          <cell r="D936">
            <v>26340242</v>
          </cell>
        </row>
        <row r="937">
          <cell r="B937" t="str">
            <v xml:space="preserve">프린터                                            </v>
          </cell>
          <cell r="C937" t="str">
            <v xml:space="preserve">HDP-2420K                                         </v>
          </cell>
          <cell r="D937">
            <v>13360052</v>
          </cell>
        </row>
        <row r="938">
          <cell r="B938" t="str">
            <v xml:space="preserve">프린터                                            </v>
          </cell>
          <cell r="C938" t="str">
            <v xml:space="preserve">HDP-2420K                                         </v>
          </cell>
          <cell r="D938">
            <v>13360003</v>
          </cell>
        </row>
        <row r="939">
          <cell r="B939" t="str">
            <v xml:space="preserve">프린터                                            </v>
          </cell>
          <cell r="C939" t="str">
            <v xml:space="preserve">HDP-2420K                                         </v>
          </cell>
          <cell r="D939">
            <v>13360093</v>
          </cell>
        </row>
        <row r="940">
          <cell r="B940" t="str">
            <v xml:space="preserve">프린터                                            </v>
          </cell>
          <cell r="C940" t="str">
            <v xml:space="preserve">HDP-2420K                                         </v>
          </cell>
          <cell r="D940">
            <v>13360111</v>
          </cell>
        </row>
        <row r="941">
          <cell r="B941" t="str">
            <v xml:space="preserve">프린터                                            </v>
          </cell>
          <cell r="C941" t="str">
            <v xml:space="preserve">HLP-8000K                                         </v>
          </cell>
          <cell r="D941">
            <v>21290212</v>
          </cell>
        </row>
        <row r="942">
          <cell r="B942" t="str">
            <v xml:space="preserve">프린터                                            </v>
          </cell>
          <cell r="C942" t="str">
            <v xml:space="preserve">HLP-8000K                                         </v>
          </cell>
          <cell r="D942">
            <v>21290214</v>
          </cell>
        </row>
        <row r="943">
          <cell r="B943" t="str">
            <v xml:space="preserve">WALL CABINET                                      </v>
          </cell>
          <cell r="C943" t="str">
            <v xml:space="preserve">D-TYPE                                            </v>
          </cell>
          <cell r="D943" t="str">
            <v xml:space="preserve">                  </v>
          </cell>
        </row>
        <row r="944">
          <cell r="B944" t="str">
            <v xml:space="preserve">프린터                                            </v>
          </cell>
          <cell r="C944" t="str">
            <v xml:space="preserve">HLP-8000K                                         </v>
          </cell>
          <cell r="D944">
            <v>21290117</v>
          </cell>
        </row>
        <row r="945">
          <cell r="B945" t="str">
            <v xml:space="preserve">프린터                                            </v>
          </cell>
          <cell r="C945" t="str">
            <v xml:space="preserve">HLP-8000K                                         </v>
          </cell>
          <cell r="D945">
            <v>21290285</v>
          </cell>
        </row>
        <row r="946">
          <cell r="B946" t="str">
            <v xml:space="preserve">프린터                                            </v>
          </cell>
          <cell r="C946" t="str">
            <v xml:space="preserve">HLP-8000K                                         </v>
          </cell>
          <cell r="D946">
            <v>21290021</v>
          </cell>
        </row>
        <row r="947">
          <cell r="B947" t="str">
            <v xml:space="preserve">WALL CABINET                                      </v>
          </cell>
          <cell r="C947" t="str">
            <v xml:space="preserve">D-TYPE                                            </v>
          </cell>
          <cell r="D947" t="str">
            <v xml:space="preserve">                  </v>
          </cell>
        </row>
        <row r="948">
          <cell r="B948" t="str">
            <v xml:space="preserve">PC(Workstation)                                   </v>
          </cell>
          <cell r="C948" t="str">
            <v xml:space="preserve">VF386/SX-80                                       </v>
          </cell>
          <cell r="D948" t="str">
            <v xml:space="preserve">                  </v>
          </cell>
        </row>
        <row r="949">
          <cell r="B949" t="str">
            <v xml:space="preserve">프린터                                            </v>
          </cell>
          <cell r="C949" t="str">
            <v xml:space="preserve">HDP-2420K                                         </v>
          </cell>
          <cell r="D949">
            <v>13300759</v>
          </cell>
        </row>
        <row r="950">
          <cell r="B950" t="str">
            <v xml:space="preserve">프린터                                            </v>
          </cell>
          <cell r="C950" t="str">
            <v xml:space="preserve">HDP-2420K                                         </v>
          </cell>
          <cell r="D950">
            <v>13230736</v>
          </cell>
        </row>
        <row r="951">
          <cell r="B951" t="str">
            <v xml:space="preserve">프린터                                            </v>
          </cell>
          <cell r="C951" t="str">
            <v xml:space="preserve">HDP-2420K                                         </v>
          </cell>
          <cell r="D951">
            <v>13230724</v>
          </cell>
        </row>
        <row r="952">
          <cell r="B952" t="str">
            <v xml:space="preserve">프린터                                            </v>
          </cell>
          <cell r="C952" t="str">
            <v xml:space="preserve">HDP-2420K                                         </v>
          </cell>
          <cell r="D952">
            <v>13300779</v>
          </cell>
        </row>
        <row r="953">
          <cell r="B953" t="str">
            <v xml:space="preserve">프린터                                            </v>
          </cell>
          <cell r="C953" t="str">
            <v xml:space="preserve">HDP-2420K                                         </v>
          </cell>
          <cell r="D953">
            <v>13250373</v>
          </cell>
        </row>
        <row r="954">
          <cell r="B954" t="str">
            <v xml:space="preserve">프린터                                            </v>
          </cell>
          <cell r="C954" t="str">
            <v xml:space="preserve">HDP-2420K                                         </v>
          </cell>
          <cell r="D954">
            <v>13230744</v>
          </cell>
        </row>
        <row r="955">
          <cell r="B955" t="str">
            <v xml:space="preserve">프린터                                            </v>
          </cell>
          <cell r="C955" t="str">
            <v xml:space="preserve">HDP-2420K                                         </v>
          </cell>
          <cell r="D955">
            <v>13300766</v>
          </cell>
        </row>
        <row r="956">
          <cell r="B956" t="str">
            <v xml:space="preserve">프린터                                            </v>
          </cell>
          <cell r="C956" t="str">
            <v xml:space="preserve">HDP-2440K                                         </v>
          </cell>
          <cell r="D956">
            <v>20330554</v>
          </cell>
        </row>
        <row r="957">
          <cell r="B957" t="str">
            <v xml:space="preserve">프린터                                            </v>
          </cell>
          <cell r="C957" t="str">
            <v xml:space="preserve">RP-420                                            </v>
          </cell>
          <cell r="D957" t="str">
            <v xml:space="preserve">                  </v>
          </cell>
        </row>
        <row r="958">
          <cell r="B958" t="str">
            <v xml:space="preserve">양식함                                            </v>
          </cell>
          <cell r="C958" t="str">
            <v xml:space="preserve">20단                                              </v>
          </cell>
          <cell r="D958" t="str">
            <v xml:space="preserve">                  </v>
          </cell>
        </row>
        <row r="959">
          <cell r="B959" t="str">
            <v xml:space="preserve">프린터                                            </v>
          </cell>
          <cell r="C959" t="str">
            <v xml:space="preserve">5612VSE                                           </v>
          </cell>
          <cell r="D959" t="str">
            <v xml:space="preserve">                  </v>
          </cell>
        </row>
        <row r="960">
          <cell r="B960" t="str">
            <v xml:space="preserve">프린터                                            </v>
          </cell>
          <cell r="C960" t="str">
            <v xml:space="preserve">HLP-8000K                                         </v>
          </cell>
          <cell r="D960">
            <v>21190077</v>
          </cell>
        </row>
        <row r="961">
          <cell r="B961" t="str">
            <v xml:space="preserve">프린터                                            </v>
          </cell>
          <cell r="C961" t="str">
            <v xml:space="preserve">HLP-8000K                                         </v>
          </cell>
          <cell r="D961">
            <v>21190078</v>
          </cell>
        </row>
        <row r="962">
          <cell r="B962" t="str">
            <v xml:space="preserve">프린터                                            </v>
          </cell>
          <cell r="C962" t="str">
            <v xml:space="preserve">HLP-8000K                                         </v>
          </cell>
          <cell r="D962">
            <v>21190079</v>
          </cell>
        </row>
        <row r="963">
          <cell r="B963" t="str">
            <v xml:space="preserve">PLOTTER                                           </v>
          </cell>
          <cell r="C963" t="str">
            <v xml:space="preserve">OCE G1835-CR                                      </v>
          </cell>
          <cell r="D963">
            <v>6821</v>
          </cell>
        </row>
        <row r="964">
          <cell r="B964" t="str">
            <v xml:space="preserve">프린터                                            </v>
          </cell>
          <cell r="C964" t="str">
            <v xml:space="preserve">HDP-2420K                                         </v>
          </cell>
          <cell r="D964">
            <v>13300924</v>
          </cell>
        </row>
        <row r="965">
          <cell r="B965" t="str">
            <v xml:space="preserve">프린터                                            </v>
          </cell>
          <cell r="C965" t="str">
            <v xml:space="preserve">HDP-2420                                          </v>
          </cell>
          <cell r="D965">
            <v>13250489</v>
          </cell>
        </row>
        <row r="966">
          <cell r="B966" t="str">
            <v xml:space="preserve">프린터                                            </v>
          </cell>
          <cell r="C966" t="str">
            <v xml:space="preserve">TPC-8500M                                         </v>
          </cell>
          <cell r="D966" t="str">
            <v xml:space="preserve">90070408A         </v>
          </cell>
        </row>
        <row r="967">
          <cell r="B967" t="str">
            <v xml:space="preserve">프린터                                            </v>
          </cell>
          <cell r="C967" t="str">
            <v xml:space="preserve">HDP-2440K                                         </v>
          </cell>
          <cell r="D967">
            <v>20220131</v>
          </cell>
        </row>
        <row r="968">
          <cell r="B968" t="str">
            <v xml:space="preserve">POLAROID CAMERA                                   </v>
          </cell>
          <cell r="C968">
            <v>670</v>
          </cell>
          <cell r="D968" t="str">
            <v xml:space="preserve">3999C-021         </v>
          </cell>
        </row>
        <row r="969">
          <cell r="B969" t="str">
            <v xml:space="preserve">프린터                                            </v>
          </cell>
          <cell r="C969" t="str">
            <v xml:space="preserve">HDP-1645                                          </v>
          </cell>
          <cell r="D969">
            <v>900941541</v>
          </cell>
        </row>
        <row r="970">
          <cell r="B970" t="str">
            <v xml:space="preserve">프린터                                            </v>
          </cell>
          <cell r="C970" t="str">
            <v xml:space="preserve">HDP-1645                                          </v>
          </cell>
          <cell r="D970">
            <v>900941536</v>
          </cell>
        </row>
        <row r="971">
          <cell r="B971" t="str">
            <v xml:space="preserve">프린터                                            </v>
          </cell>
          <cell r="C971" t="str">
            <v xml:space="preserve">HDP-1820                                          </v>
          </cell>
          <cell r="D971">
            <v>89120137</v>
          </cell>
        </row>
        <row r="972">
          <cell r="B972" t="str">
            <v xml:space="preserve">프린터                                            </v>
          </cell>
          <cell r="C972" t="str">
            <v xml:space="preserve">HDP-1820                                          </v>
          </cell>
          <cell r="D972">
            <v>89120086</v>
          </cell>
        </row>
        <row r="973">
          <cell r="B973" t="str">
            <v xml:space="preserve">프린터                                            </v>
          </cell>
          <cell r="C973" t="str">
            <v xml:space="preserve">HDP-1820                                          </v>
          </cell>
          <cell r="D973">
            <v>89120227</v>
          </cell>
        </row>
        <row r="974">
          <cell r="B974" t="str">
            <v xml:space="preserve">방진화용　신발장                                  </v>
          </cell>
          <cell r="C974" t="str">
            <v xml:space="preserve">1120*320*1780                                     </v>
          </cell>
          <cell r="D974" t="str">
            <v xml:space="preserve">900731-8          </v>
          </cell>
        </row>
        <row r="975">
          <cell r="B975" t="str">
            <v xml:space="preserve">방진화용　신발장                                  </v>
          </cell>
          <cell r="C975" t="str">
            <v xml:space="preserve">1120*320*1780                                     </v>
          </cell>
          <cell r="D975" t="str">
            <v xml:space="preserve">900731-7          </v>
          </cell>
        </row>
        <row r="976">
          <cell r="B976" t="str">
            <v xml:space="preserve">방진화용　신발장                                  </v>
          </cell>
          <cell r="C976" t="str">
            <v xml:space="preserve">1120*320*1780                                     </v>
          </cell>
          <cell r="D976" t="str">
            <v xml:space="preserve">900731-6          </v>
          </cell>
        </row>
        <row r="977">
          <cell r="B977" t="str">
            <v xml:space="preserve">COMPONENT RACK                                    </v>
          </cell>
          <cell r="C977" t="str">
            <v xml:space="preserve">550*500*825                                       </v>
          </cell>
          <cell r="D977" t="str">
            <v xml:space="preserve">                  </v>
          </cell>
        </row>
        <row r="978">
          <cell r="B978" t="str">
            <v xml:space="preserve">COMPONENT RACK                                    </v>
          </cell>
          <cell r="C978" t="str">
            <v xml:space="preserve">550*500*825                                       </v>
          </cell>
          <cell r="D978" t="str">
            <v xml:space="preserve">                  </v>
          </cell>
        </row>
        <row r="979">
          <cell r="B979" t="str">
            <v xml:space="preserve">프린터                                            </v>
          </cell>
          <cell r="C979" t="str">
            <v xml:space="preserve">HDP-1630                                          </v>
          </cell>
          <cell r="D979" t="str">
            <v xml:space="preserve">                  </v>
          </cell>
        </row>
        <row r="980">
          <cell r="B980" t="str">
            <v xml:space="preserve">TOOL CABINET                                      </v>
          </cell>
          <cell r="C980" t="str">
            <v xml:space="preserve">TC-0620                                           </v>
          </cell>
          <cell r="D980" t="str">
            <v xml:space="preserve">                  </v>
          </cell>
        </row>
        <row r="981">
          <cell r="B981" t="str">
            <v xml:space="preserve">TOOL CABINET                                      </v>
          </cell>
          <cell r="C981" t="str">
            <v xml:space="preserve">TC-0620                                           </v>
          </cell>
          <cell r="D981" t="str">
            <v xml:space="preserve">                  </v>
          </cell>
        </row>
        <row r="982">
          <cell r="B982" t="str">
            <v xml:space="preserve">C.R CLEANING SET                                  </v>
          </cell>
          <cell r="C982" t="str">
            <v xml:space="preserve">600*500*860*8                                     </v>
          </cell>
          <cell r="D982" t="str">
            <v xml:space="preserve">                  </v>
          </cell>
        </row>
        <row r="983">
          <cell r="B983" t="str">
            <v xml:space="preserve">PARTS STORAGE B0X                                 </v>
          </cell>
          <cell r="C983" t="str">
            <v xml:space="preserve">COMMON                                            </v>
          </cell>
          <cell r="D983" t="str">
            <v xml:space="preserve">                  </v>
          </cell>
        </row>
        <row r="984">
          <cell r="B984" t="str">
            <v xml:space="preserve">프린터                                            </v>
          </cell>
          <cell r="C984" t="str">
            <v xml:space="preserve">HDP-1820K                                         </v>
          </cell>
          <cell r="D984">
            <v>89120110</v>
          </cell>
        </row>
        <row r="985">
          <cell r="B985" t="str">
            <v xml:space="preserve">프린터                                            </v>
          </cell>
          <cell r="C985" t="str">
            <v xml:space="preserve">HDP-1820K                                         </v>
          </cell>
          <cell r="D985">
            <v>89120192</v>
          </cell>
        </row>
        <row r="986">
          <cell r="B986" t="str">
            <v xml:space="preserve">프린터                                            </v>
          </cell>
          <cell r="C986" t="str">
            <v xml:space="preserve">HDP-1820K                                         </v>
          </cell>
          <cell r="D986">
            <v>89120188</v>
          </cell>
        </row>
        <row r="987">
          <cell r="B987" t="str">
            <v xml:space="preserve">PC BOARD S/T BOX                                  </v>
          </cell>
          <cell r="C987" t="str">
            <v xml:space="preserve">1200*500*1500                                     </v>
          </cell>
          <cell r="D987" t="str">
            <v xml:space="preserve">                  </v>
          </cell>
        </row>
        <row r="988">
          <cell r="B988" t="str">
            <v xml:space="preserve">STORAGE BOX                                       </v>
          </cell>
          <cell r="C988" t="str">
            <v xml:space="preserve">1200*600*1700                                     </v>
          </cell>
          <cell r="D988" t="str">
            <v xml:space="preserve">                  </v>
          </cell>
        </row>
        <row r="989">
          <cell r="B989" t="str">
            <v xml:space="preserve">STORAGE BOX                                       </v>
          </cell>
          <cell r="C989" t="str">
            <v xml:space="preserve">1200*600*1700                                     </v>
          </cell>
          <cell r="D989" t="str">
            <v xml:space="preserve">                  </v>
          </cell>
        </row>
        <row r="990">
          <cell r="B990" t="str">
            <v xml:space="preserve">STORAGE BOX                                       </v>
          </cell>
          <cell r="C990" t="str">
            <v xml:space="preserve">1200*600*1700                                     </v>
          </cell>
          <cell r="D990" t="str">
            <v xml:space="preserve">                  </v>
          </cell>
        </row>
        <row r="991">
          <cell r="B991" t="str">
            <v xml:space="preserve">STORAGE BOX                                       </v>
          </cell>
          <cell r="C991" t="str">
            <v xml:space="preserve">1200*600*1700                                     </v>
          </cell>
          <cell r="D991" t="str">
            <v xml:space="preserve">                  </v>
          </cell>
        </row>
        <row r="992">
          <cell r="B992" t="str">
            <v xml:space="preserve">STORAGE BOX                                       </v>
          </cell>
          <cell r="C992" t="str">
            <v xml:space="preserve">1200*600*1700                                     </v>
          </cell>
          <cell r="D992" t="str">
            <v xml:space="preserve">                  </v>
          </cell>
        </row>
        <row r="993">
          <cell r="B993" t="str">
            <v xml:space="preserve">STORAGE BOX                                       </v>
          </cell>
          <cell r="C993" t="str">
            <v xml:space="preserve">1200*600*1700                                     </v>
          </cell>
          <cell r="D993" t="str">
            <v xml:space="preserve">                  </v>
          </cell>
        </row>
        <row r="994">
          <cell r="B994" t="str">
            <v xml:space="preserve">STORAGE BOX                                       </v>
          </cell>
          <cell r="C994" t="str">
            <v xml:space="preserve">1200*600*1700                                     </v>
          </cell>
          <cell r="D994" t="str">
            <v xml:space="preserve">                  </v>
          </cell>
        </row>
        <row r="995">
          <cell r="B995" t="str">
            <v xml:space="preserve">STORAGE BOX                                       </v>
          </cell>
          <cell r="C995" t="str">
            <v xml:space="preserve">1200*600*1700                                     </v>
          </cell>
          <cell r="D995" t="str">
            <v xml:space="preserve">                  </v>
          </cell>
        </row>
        <row r="996">
          <cell r="B996" t="str">
            <v xml:space="preserve">STORAGE BOX                                       </v>
          </cell>
          <cell r="C996" t="str">
            <v xml:space="preserve">1200*600*1700                                     </v>
          </cell>
          <cell r="D996" t="str">
            <v xml:space="preserve">                  </v>
          </cell>
        </row>
        <row r="997">
          <cell r="B997" t="str">
            <v xml:space="preserve">TEST B/D                                          </v>
          </cell>
          <cell r="C997" t="str">
            <v xml:space="preserve">1320*500 *1950                                    </v>
          </cell>
          <cell r="D997" t="str">
            <v xml:space="preserve">                  </v>
          </cell>
        </row>
        <row r="998">
          <cell r="B998" t="str">
            <v xml:space="preserve">STORAGE BOX-C                                     </v>
          </cell>
          <cell r="C998" t="str">
            <v xml:space="preserve">1200*600 *1700                                    </v>
          </cell>
          <cell r="D998" t="str">
            <v xml:space="preserve">                  </v>
          </cell>
        </row>
        <row r="999">
          <cell r="B999" t="str">
            <v xml:space="preserve">STORAGE BOX-B                                     </v>
          </cell>
          <cell r="C999" t="str">
            <v xml:space="preserve">2000*600 *2000                                    </v>
          </cell>
          <cell r="D999" t="str">
            <v xml:space="preserve">                  </v>
          </cell>
        </row>
        <row r="1000">
          <cell r="B1000" t="str">
            <v xml:space="preserve">STORAGE BOX-B                                     </v>
          </cell>
          <cell r="C1000" t="str">
            <v xml:space="preserve">2000*600 *2000                                    </v>
          </cell>
          <cell r="D1000" t="str">
            <v xml:space="preserve">                  </v>
          </cell>
        </row>
        <row r="1001">
          <cell r="B1001" t="str">
            <v xml:space="preserve">STORAGE BOX-B                                     </v>
          </cell>
          <cell r="C1001" t="str">
            <v xml:space="preserve">2000*600 *2000                                    </v>
          </cell>
          <cell r="D1001" t="str">
            <v xml:space="preserve">                  </v>
          </cell>
        </row>
        <row r="1002">
          <cell r="B1002" t="str">
            <v xml:space="preserve">STORAGE BOX-A                                     </v>
          </cell>
          <cell r="C1002" t="str">
            <v xml:space="preserve">1200*600 *1700                                    </v>
          </cell>
          <cell r="D1002" t="str">
            <v xml:space="preserve">                  </v>
          </cell>
        </row>
        <row r="1003">
          <cell r="B1003" t="str">
            <v xml:space="preserve">STORAGE BOX-A                                     </v>
          </cell>
          <cell r="C1003" t="str">
            <v xml:space="preserve">1200*600 *1700                                    </v>
          </cell>
          <cell r="D1003" t="str">
            <v xml:space="preserve">                  </v>
          </cell>
        </row>
        <row r="1004">
          <cell r="B1004" t="str">
            <v xml:space="preserve">STORAGE BOX-A                                     </v>
          </cell>
          <cell r="C1004" t="str">
            <v xml:space="preserve">1200*600 *1700                                    </v>
          </cell>
          <cell r="D1004" t="str">
            <v xml:space="preserve">                  </v>
          </cell>
        </row>
        <row r="1005">
          <cell r="B1005" t="str">
            <v xml:space="preserve">S/P CABINET-B                                     </v>
          </cell>
          <cell r="C1005" t="str">
            <v xml:space="preserve">865*490*1800                                      </v>
          </cell>
          <cell r="D1005" t="str">
            <v xml:space="preserve">                  </v>
          </cell>
        </row>
        <row r="1006">
          <cell r="B1006" t="str">
            <v xml:space="preserve">S/P CABINET-B                                     </v>
          </cell>
          <cell r="C1006" t="str">
            <v xml:space="preserve">865*490*1800                                      </v>
          </cell>
          <cell r="D1006" t="str">
            <v xml:space="preserve">                  </v>
          </cell>
        </row>
        <row r="1007">
          <cell r="B1007" t="str">
            <v xml:space="preserve">S/P CABINET-B                                     </v>
          </cell>
          <cell r="C1007" t="str">
            <v xml:space="preserve">865*490*1800                                      </v>
          </cell>
          <cell r="D1007" t="str">
            <v xml:space="preserve">                  </v>
          </cell>
        </row>
        <row r="1008">
          <cell r="B1008" t="str">
            <v xml:space="preserve">S/P CABINET-A                                     </v>
          </cell>
          <cell r="C1008" t="str">
            <v xml:space="preserve">865*490*1800                                      </v>
          </cell>
          <cell r="D1008" t="str">
            <v xml:space="preserve">                  </v>
          </cell>
        </row>
        <row r="1009">
          <cell r="B1009" t="str">
            <v xml:space="preserve">S/P CABINET-A                                     </v>
          </cell>
          <cell r="C1009" t="str">
            <v xml:space="preserve">865*490*1800                                      </v>
          </cell>
          <cell r="D1009" t="str">
            <v xml:space="preserve">                  </v>
          </cell>
        </row>
        <row r="1010">
          <cell r="B1010" t="str">
            <v xml:space="preserve">S/P CABINET-A                                     </v>
          </cell>
          <cell r="C1010" t="str">
            <v xml:space="preserve">865*490*1800                                      </v>
          </cell>
          <cell r="D1010" t="str">
            <v xml:space="preserve">                  </v>
          </cell>
        </row>
        <row r="1011">
          <cell r="B1011" t="str">
            <v xml:space="preserve">S/P CABINET-A                                     </v>
          </cell>
          <cell r="C1011" t="str">
            <v xml:space="preserve">865*490*1800                                      </v>
          </cell>
          <cell r="D1011" t="str">
            <v xml:space="preserve">                  </v>
          </cell>
        </row>
        <row r="1012">
          <cell r="B1012" t="str">
            <v xml:space="preserve">S/P CABINET-A                                     </v>
          </cell>
          <cell r="C1012" t="str">
            <v xml:space="preserve">865*490*1800                                      </v>
          </cell>
          <cell r="D1012" t="str">
            <v xml:space="preserve">                  </v>
          </cell>
        </row>
        <row r="1013">
          <cell r="B1013" t="str">
            <v xml:space="preserve">REPIRRART                                         </v>
          </cell>
          <cell r="C1013" t="str">
            <v xml:space="preserve">1123600*1800                                      </v>
          </cell>
          <cell r="D1013" t="str">
            <v xml:space="preserve">                  </v>
          </cell>
        </row>
        <row r="1014">
          <cell r="B1014" t="str">
            <v xml:space="preserve">REPIRRART                                         </v>
          </cell>
          <cell r="C1014" t="str">
            <v xml:space="preserve">1123600*1800                                      </v>
          </cell>
          <cell r="D1014" t="str">
            <v xml:space="preserve">                  </v>
          </cell>
        </row>
        <row r="1015">
          <cell r="B1015" t="str">
            <v xml:space="preserve">REPIRRART                                         </v>
          </cell>
          <cell r="C1015" t="str">
            <v xml:space="preserve">1123600*1800                                      </v>
          </cell>
          <cell r="D1015" t="str">
            <v xml:space="preserve">                  </v>
          </cell>
        </row>
        <row r="1016">
          <cell r="B1016" t="str">
            <v xml:space="preserve">REPIRRART                                         </v>
          </cell>
          <cell r="C1016" t="str">
            <v xml:space="preserve">1123600*1800                                      </v>
          </cell>
          <cell r="D1016" t="str">
            <v xml:space="preserve">                  </v>
          </cell>
        </row>
        <row r="1017">
          <cell r="B1017" t="str">
            <v xml:space="preserve">공구함                                            </v>
          </cell>
          <cell r="C1017" t="str">
            <v xml:space="preserve">800 *480 *1350                                    </v>
          </cell>
          <cell r="D1017" t="str">
            <v xml:space="preserve">                  </v>
          </cell>
        </row>
        <row r="1018">
          <cell r="B1018" t="str">
            <v xml:space="preserve">공구함                                            </v>
          </cell>
          <cell r="C1018" t="str">
            <v xml:space="preserve">800 *480 *1350                                    </v>
          </cell>
          <cell r="D1018" t="str">
            <v xml:space="preserve">                  </v>
          </cell>
        </row>
        <row r="1019">
          <cell r="B1019" t="str">
            <v xml:space="preserve">공구함                                            </v>
          </cell>
          <cell r="C1019" t="str">
            <v xml:space="preserve">800 *480 *1350                                    </v>
          </cell>
          <cell r="D1019" t="str">
            <v xml:space="preserve">                  </v>
          </cell>
        </row>
        <row r="1020">
          <cell r="B1020" t="str">
            <v xml:space="preserve">PART&amp;SCRZW                                        </v>
          </cell>
          <cell r="C1020" t="str">
            <v xml:space="preserve">630*610*830                                       </v>
          </cell>
          <cell r="D1020" t="str">
            <v xml:space="preserve">                  </v>
          </cell>
        </row>
        <row r="1021">
          <cell r="B1021" t="str">
            <v xml:space="preserve">PART&amp;SCRZW                                        </v>
          </cell>
          <cell r="C1021" t="str">
            <v xml:space="preserve">630*610*830                                       </v>
          </cell>
          <cell r="D1021" t="str">
            <v xml:space="preserve">                  </v>
          </cell>
        </row>
        <row r="1022">
          <cell r="B1022" t="str">
            <v xml:space="preserve">EPSON PRINTER                                     </v>
          </cell>
          <cell r="C1022" t="str">
            <v xml:space="preserve">LQ2250H                                           </v>
          </cell>
          <cell r="D1022" t="str">
            <v xml:space="preserve">                  </v>
          </cell>
        </row>
        <row r="1023">
          <cell r="B1023" t="str">
            <v xml:space="preserve">COMPOHENT RACK                                    </v>
          </cell>
          <cell r="C1023" t="str">
            <v xml:space="preserve">730*700*1350                                      </v>
          </cell>
          <cell r="D1023" t="str">
            <v xml:space="preserve">                  </v>
          </cell>
        </row>
        <row r="1024">
          <cell r="B1024" t="str">
            <v xml:space="preserve">COMPOHENT RACK                                    </v>
          </cell>
          <cell r="C1024" t="str">
            <v xml:space="preserve">1000*780*1350                                     </v>
          </cell>
          <cell r="D1024" t="str">
            <v xml:space="preserve">                  </v>
          </cell>
        </row>
        <row r="1025">
          <cell r="B1025" t="str">
            <v xml:space="preserve">COMPOHENT RACK                                    </v>
          </cell>
          <cell r="C1025" t="str">
            <v xml:space="preserve">700*450*1500                                      </v>
          </cell>
          <cell r="D1025" t="str">
            <v xml:space="preserve">                  </v>
          </cell>
        </row>
        <row r="1026">
          <cell r="B1026" t="str">
            <v xml:space="preserve">COMPOHENT RACK                                    </v>
          </cell>
          <cell r="C1026" t="str">
            <v xml:space="preserve">700*450*1500                                      </v>
          </cell>
          <cell r="D1026" t="str">
            <v xml:space="preserve">                  </v>
          </cell>
        </row>
        <row r="1027">
          <cell r="B1027" t="str">
            <v xml:space="preserve">COMPOHENT RACK                                    </v>
          </cell>
          <cell r="C1027" t="str">
            <v xml:space="preserve">920*800*1800                                      </v>
          </cell>
          <cell r="D1027" t="str">
            <v xml:space="preserve">                  </v>
          </cell>
        </row>
        <row r="1028">
          <cell r="B1028" t="str">
            <v xml:space="preserve">COMPOHENT RACK                                    </v>
          </cell>
          <cell r="C1028" t="str">
            <v xml:space="preserve">855*475*1480                                      </v>
          </cell>
          <cell r="D1028" t="str">
            <v xml:space="preserve">                  </v>
          </cell>
        </row>
        <row r="1029">
          <cell r="B1029" t="str">
            <v xml:space="preserve">COMPOHENT RACK                                    </v>
          </cell>
          <cell r="C1029" t="str">
            <v xml:space="preserve">855*475*1480                                      </v>
          </cell>
          <cell r="D1029" t="str">
            <v xml:space="preserve">                  </v>
          </cell>
        </row>
        <row r="1030">
          <cell r="B1030" t="str">
            <v xml:space="preserve">COMPOHENT RACK                                    </v>
          </cell>
          <cell r="C1030" t="str">
            <v xml:space="preserve">855*475*1480                                      </v>
          </cell>
          <cell r="D1030" t="str">
            <v xml:space="preserve">                  </v>
          </cell>
        </row>
        <row r="1031">
          <cell r="B1031" t="str">
            <v xml:space="preserve">COMPOHENT RACK                                    </v>
          </cell>
          <cell r="C1031" t="str">
            <v xml:space="preserve">855*475*1480                                      </v>
          </cell>
          <cell r="D1031" t="str">
            <v xml:space="preserve">                  </v>
          </cell>
        </row>
        <row r="1032">
          <cell r="B1032" t="str">
            <v xml:space="preserve">도면함                                            </v>
          </cell>
          <cell r="C1032" t="str">
            <v xml:space="preserve">A .5단                                            </v>
          </cell>
          <cell r="D1032" t="str">
            <v xml:space="preserve">                  </v>
          </cell>
        </row>
        <row r="1033">
          <cell r="B1033" t="str">
            <v xml:space="preserve">FILE BOX                                          </v>
          </cell>
          <cell r="C1033" t="str">
            <v xml:space="preserve">4단                                               </v>
          </cell>
          <cell r="D1033" t="str">
            <v xml:space="preserve">                  </v>
          </cell>
        </row>
        <row r="1034">
          <cell r="B1034" t="str">
            <v xml:space="preserve">FILE BOX                                          </v>
          </cell>
          <cell r="C1034" t="str">
            <v xml:space="preserve">4단                                               </v>
          </cell>
          <cell r="D1034" t="str">
            <v xml:space="preserve">                  </v>
          </cell>
        </row>
        <row r="1035">
          <cell r="B1035" t="str">
            <v xml:space="preserve">프린터                                            </v>
          </cell>
          <cell r="C1035" t="str">
            <v xml:space="preserve">XK-142A                                           </v>
          </cell>
          <cell r="D1035">
            <v>10377</v>
          </cell>
        </row>
        <row r="1036">
          <cell r="B1036" t="str">
            <v xml:space="preserve">프린터                                            </v>
          </cell>
          <cell r="C1036" t="str">
            <v xml:space="preserve">HDP-1654                                          </v>
          </cell>
          <cell r="D1036">
            <v>890310711</v>
          </cell>
        </row>
        <row r="1037">
          <cell r="B1037" t="str">
            <v xml:space="preserve">PARTS STORAGE BOX                                 </v>
          </cell>
          <cell r="C1037" t="str">
            <v xml:space="preserve">1200*550*1700                                     </v>
          </cell>
          <cell r="D1037" t="str">
            <v xml:space="preserve">                  </v>
          </cell>
        </row>
        <row r="1038">
          <cell r="B1038" t="str">
            <v xml:space="preserve">CART(MAINTENANCE)                                 </v>
          </cell>
          <cell r="C1038" t="str">
            <v xml:space="preserve">800*500*600                                       </v>
          </cell>
          <cell r="D1038" t="str">
            <v xml:space="preserve">                  </v>
          </cell>
        </row>
        <row r="1039">
          <cell r="B1039" t="str">
            <v xml:space="preserve">CART(MAINTENANCE)                                 </v>
          </cell>
          <cell r="C1039" t="str">
            <v xml:space="preserve">800*500*600                                       </v>
          </cell>
          <cell r="D1039" t="str">
            <v xml:space="preserve">                  </v>
          </cell>
        </row>
        <row r="1040">
          <cell r="B1040" t="str">
            <v xml:space="preserve">CART(MAINTENANCE)                                 </v>
          </cell>
          <cell r="C1040" t="str">
            <v xml:space="preserve">800*500*600                                       </v>
          </cell>
          <cell r="D1040" t="str">
            <v xml:space="preserve">                  </v>
          </cell>
        </row>
        <row r="1041">
          <cell r="B1041" t="str">
            <v xml:space="preserve">CART(MAINTENANCE)                                 </v>
          </cell>
          <cell r="C1041" t="str">
            <v xml:space="preserve">800*500*600                                       </v>
          </cell>
          <cell r="D1041" t="str">
            <v xml:space="preserve">                  </v>
          </cell>
        </row>
        <row r="1042">
          <cell r="B1042" t="str">
            <v xml:space="preserve">CART(MAINTENANCE)                                 </v>
          </cell>
          <cell r="C1042" t="str">
            <v xml:space="preserve">800*500*600                                       </v>
          </cell>
          <cell r="D1042" t="str">
            <v xml:space="preserve">                  </v>
          </cell>
        </row>
        <row r="1043">
          <cell r="B1043" t="str">
            <v xml:space="preserve">UV PROBE                                          </v>
          </cell>
          <cell r="C1043" t="str">
            <v xml:space="preserve">UV 150/200PC                                      </v>
          </cell>
          <cell r="D1043">
            <v>2317</v>
          </cell>
        </row>
        <row r="1044">
          <cell r="B1044" t="str">
            <v xml:space="preserve">AUTO LOADER                                       </v>
          </cell>
          <cell r="C1044" t="str">
            <v xml:space="preserve">1M11CE-1                                          </v>
          </cell>
          <cell r="D1044">
            <v>505889</v>
          </cell>
        </row>
        <row r="1045">
          <cell r="B1045" t="str">
            <v xml:space="preserve">AUTO LOADER                                       </v>
          </cell>
          <cell r="C1045" t="str">
            <v xml:space="preserve">3B                                                </v>
          </cell>
          <cell r="D1045">
            <v>79817982</v>
          </cell>
        </row>
        <row r="1046">
          <cell r="B1046" t="str">
            <v xml:space="preserve">PROBER                                            </v>
          </cell>
          <cell r="C1046" t="str">
            <v xml:space="preserve">TP-400XP                                          </v>
          </cell>
          <cell r="D1046">
            <v>3466</v>
          </cell>
        </row>
        <row r="1047">
          <cell r="B1047" t="str">
            <v xml:space="preserve">FILM THICKNESS PROBE(10%)/155                     </v>
          </cell>
          <cell r="C1047" t="str">
            <v xml:space="preserve">FT750                                             </v>
          </cell>
          <cell r="D1047">
            <v>951052</v>
          </cell>
        </row>
        <row r="1048">
          <cell r="B1048" t="str">
            <v xml:space="preserve">WAFER SCAN.PROBE(AFM)/0140                        </v>
          </cell>
          <cell r="C1048">
            <v>986461</v>
          </cell>
          <cell r="D1048" t="str">
            <v xml:space="preserve">                 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製令單"/>
      <sheetName val="分段線成品銲錫塗裝（外包商） (2)"/>
    </sheetNames>
    <sheetDataSet>
      <sheetData sheetId="0">
        <row r="1">
          <cell r="M1" t="str">
            <v>sb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TOTAL"/>
      <sheetName val="계양집계"/>
      <sheetName val="케피코집계"/>
      <sheetName val="동희금형"/>
      <sheetName val="인지금형"/>
      <sheetName val="삼성금형"/>
      <sheetName val="창기금형1"/>
      <sheetName val="창기2"/>
      <sheetName val="창기2-2"/>
      <sheetName val="화승R&amp;A"/>
      <sheetName val="평화"/>
      <sheetName val="Sheet1"/>
      <sheetName val="Sheet2"/>
      <sheetName val="Sheet3"/>
      <sheetName val="인원"/>
      <sheetName val="#REF!"/>
      <sheetName val="PM회의1"/>
      <sheetName val="기안"/>
      <sheetName val="종합"/>
      <sheetName val="DATA"/>
      <sheetName val="RD제품개발투자비(매가)"/>
      <sheetName val="3"/>
      <sheetName val="구동"/>
      <sheetName val="종합현황"/>
      <sheetName val="Tbom-tot"/>
      <sheetName val="Upgrades pricing"/>
      <sheetName val="28.8부"/>
      <sheetName val="존4"/>
      <sheetName val="예산코드"/>
      <sheetName val="4DR"/>
      <sheetName val="ORIGIN"/>
      <sheetName val="김동덕 자산 IF3"/>
      <sheetName val="원본"/>
      <sheetName val="O"/>
      <sheetName val="대외공문"/>
      <sheetName val="표지"/>
      <sheetName val="CAUDIT"/>
      <sheetName val="선급법인세"/>
      <sheetName val="BL계획"/>
      <sheetName val="Macro1"/>
      <sheetName val="BND"/>
      <sheetName val="피벗1"/>
      <sheetName val="차체부품 INS REPORT(갑)"/>
      <sheetName val="원천징수보고집계현황"/>
      <sheetName val="제안서"/>
      <sheetName val="행정표준(1)"/>
      <sheetName val="행정표준(2)"/>
      <sheetName val="월별관리"/>
      <sheetName val="기공1-1-2"/>
      <sheetName val="원본DATA"/>
      <sheetName val="Upgrades_pricing"/>
      <sheetName val="9806-9901"/>
      <sheetName val="A-100전제"/>
      <sheetName val="99년1월"/>
      <sheetName val="대표자"/>
      <sheetName val="04.03월소일정계획"/>
      <sheetName val="ASS'Y(2월)"/>
      <sheetName val="코팅(2월)"/>
      <sheetName val="구list"/>
      <sheetName val="X-3 ENG"/>
      <sheetName val="판매수량"/>
      <sheetName val="검기갑지"/>
      <sheetName val="6C007(A)"/>
      <sheetName val="HMC 사전원가(원혁기준)13%"/>
      <sheetName val="대표경력"/>
      <sheetName val="적용수량"/>
      <sheetName val="MBNBSMTR"/>
      <sheetName val="Upgrades_pricing1"/>
      <sheetName val="28_8부"/>
      <sheetName val="04_03월소일정계획"/>
      <sheetName val="X-3_ENG"/>
      <sheetName val="ALT1(N-Jo)"/>
      <sheetName val="사양조정"/>
      <sheetName val="전사계"/>
      <sheetName val="Act Jan to 25 May"/>
      <sheetName val="IF13"/>
      <sheetName val="HMC_사전원가(원혁기준)13%"/>
      <sheetName val="승용"/>
      <sheetName val="상용"/>
      <sheetName val="5.세운W-A"/>
      <sheetName val="협조전"/>
      <sheetName val="데이타레코드"/>
      <sheetName val="주간"/>
      <sheetName val="FACTOR"/>
      <sheetName val="전입"/>
      <sheetName val="4.20)통계적기법관리절차서"/>
      <sheetName val="기종계"/>
      <sheetName val="제조 경영"/>
      <sheetName val="1.분류"/>
      <sheetName val="BRAKE미주입"/>
      <sheetName val="MACRO1.XLM"/>
      <sheetName val="현황"/>
      <sheetName val="업체명"/>
      <sheetName val="초기화면"/>
      <sheetName val="부재예실1월"/>
      <sheetName val="제품원재"/>
      <sheetName val="6B00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-2라인"/>
      <sheetName val="차량등록"/>
      <sheetName val="삼덕"/>
      <sheetName val="필립,일사랑"/>
      <sheetName val="이제선"/>
      <sheetName val="기타"/>
      <sheetName val="구석모"/>
      <sheetName val="SPL"/>
      <sheetName val="경영안전"/>
      <sheetName val="무진동"/>
      <sheetName val="중 기"/>
      <sheetName val="화물나라"/>
      <sheetName val="#REF"/>
      <sheetName val="원본DATA"/>
    </sheetNames>
    <sheetDataSet>
      <sheetData sheetId="0" refreshError="1"/>
      <sheetData sheetId="1" refreshError="1"/>
      <sheetData sheetId="2">
        <row r="5">
          <cell r="J5" t="b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품의양식"/>
      <sheetName val="#REF"/>
      <sheetName val="품의양식.XLS"/>
      <sheetName val="%ED%92%88%EC%9D%98%EC%96%91%EC%"/>
      <sheetName val="삼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51"/>
  <sheetViews>
    <sheetView showGridLines="0" view="pageBreakPreview" zoomScaleNormal="100" zoomScaleSheetLayoutView="100" workbookViewId="0">
      <selection activeCell="R13" sqref="R13"/>
    </sheetView>
  </sheetViews>
  <sheetFormatPr defaultColWidth="9" defaultRowHeight="13.8"/>
  <cols>
    <col min="1" max="1" width="11.3984375" style="14" customWidth="1"/>
    <col min="2" max="2" width="4.8984375" style="14" customWidth="1"/>
    <col min="3" max="3" width="13.19921875" style="14" customWidth="1"/>
    <col min="4" max="4" width="20.69921875" style="15" bestFit="1" customWidth="1"/>
    <col min="5" max="5" width="13.09765625" style="15" customWidth="1"/>
    <col min="6" max="6" width="13.69921875" style="15" bestFit="1" customWidth="1"/>
    <col min="7" max="7" width="7" style="15" customWidth="1"/>
    <col min="8" max="8" width="13.69921875" style="15" bestFit="1" customWidth="1"/>
    <col min="9" max="9" width="14.19921875" style="15" bestFit="1" customWidth="1"/>
    <col min="10" max="10" width="7.3984375" style="15" bestFit="1" customWidth="1"/>
    <col min="11" max="11" width="8.69921875" style="14" customWidth="1"/>
    <col min="12" max="12" width="12.09765625" style="14" customWidth="1"/>
    <col min="13" max="13" width="14.59765625" style="14" customWidth="1"/>
    <col min="14" max="14" width="8.8984375" style="14" customWidth="1"/>
    <col min="15" max="15" width="12.5" style="14" bestFit="1" customWidth="1"/>
    <col min="16" max="16" width="12" style="14" customWidth="1"/>
    <col min="17" max="17" width="11.8984375" style="14" bestFit="1" customWidth="1"/>
    <col min="18" max="18" width="9.19921875" style="14" bestFit="1" customWidth="1"/>
    <col min="19" max="16384" width="9" style="14"/>
  </cols>
  <sheetData>
    <row r="1" spans="1:16" s="12" customFormat="1" ht="34.5" customHeight="1">
      <c r="A1" s="164" t="s">
        <v>47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</row>
    <row r="2" spans="1:16" ht="19.5" customHeight="1">
      <c r="A2" s="13" t="s">
        <v>48</v>
      </c>
      <c r="B2" s="13"/>
      <c r="K2" s="16" t="s">
        <v>49</v>
      </c>
      <c r="L2" s="13"/>
      <c r="M2" s="13"/>
      <c r="N2" s="13"/>
    </row>
    <row r="3" spans="1:16" ht="19.5" customHeight="1">
      <c r="A3" s="17" t="s">
        <v>50</v>
      </c>
      <c r="B3" s="17"/>
      <c r="K3" s="18"/>
      <c r="L3" s="19" t="s">
        <v>145</v>
      </c>
      <c r="M3" s="19"/>
      <c r="N3" s="19"/>
      <c r="O3" s="20">
        <v>43697</v>
      </c>
      <c r="P3" s="21"/>
    </row>
    <row r="4" spans="1:16" ht="19.5" customHeight="1">
      <c r="A4" s="22" t="s">
        <v>51</v>
      </c>
      <c r="B4" s="23"/>
      <c r="K4" s="16" t="s">
        <v>52</v>
      </c>
      <c r="L4" s="24"/>
      <c r="M4" s="24"/>
      <c r="N4" s="24"/>
      <c r="O4" s="25"/>
      <c r="P4" s="25"/>
    </row>
    <row r="5" spans="1:16" ht="19.5" customHeight="1">
      <c r="A5" s="22" t="s">
        <v>53</v>
      </c>
      <c r="B5" s="23"/>
      <c r="K5" s="18"/>
      <c r="L5" s="19"/>
      <c r="M5" s="19"/>
      <c r="N5" s="19"/>
      <c r="O5" s="19"/>
      <c r="P5" s="19"/>
    </row>
    <row r="6" spans="1:16" ht="19.5" customHeight="1">
      <c r="A6" s="22" t="s">
        <v>54</v>
      </c>
      <c r="B6" s="23"/>
      <c r="K6" s="26" t="s">
        <v>55</v>
      </c>
      <c r="L6" s="13"/>
      <c r="M6" s="13"/>
      <c r="N6" s="13"/>
    </row>
    <row r="7" spans="1:16" ht="19.5" customHeight="1">
      <c r="A7" s="27"/>
      <c r="B7" s="27"/>
      <c r="C7" s="19"/>
      <c r="D7" s="28"/>
      <c r="E7" s="28"/>
      <c r="F7" s="28"/>
      <c r="G7" s="28"/>
      <c r="H7" s="28"/>
      <c r="I7" s="28"/>
      <c r="J7" s="28"/>
      <c r="K7" s="29"/>
      <c r="L7" s="28" t="s">
        <v>56</v>
      </c>
      <c r="M7" s="19" t="str">
        <f>E22</f>
        <v>HANOI, VIETNAM</v>
      </c>
      <c r="N7" s="19"/>
      <c r="O7" s="19"/>
      <c r="P7" s="19"/>
    </row>
    <row r="8" spans="1:16" ht="19.5" customHeight="1">
      <c r="A8" s="30" t="s">
        <v>57</v>
      </c>
      <c r="B8" s="13"/>
      <c r="K8" s="16" t="s">
        <v>58</v>
      </c>
      <c r="L8" s="25"/>
      <c r="M8" s="25"/>
      <c r="N8" s="25"/>
      <c r="O8" s="25"/>
      <c r="P8" s="25"/>
    </row>
    <row r="9" spans="1:16" ht="19.5" customHeight="1">
      <c r="A9" s="31" t="s">
        <v>59</v>
      </c>
      <c r="B9" s="17"/>
      <c r="C9" s="32"/>
      <c r="D9" s="33"/>
      <c r="E9" s="33"/>
      <c r="F9" s="33"/>
      <c r="G9" s="33"/>
      <c r="H9" s="33"/>
      <c r="I9" s="33"/>
      <c r="J9" s="33"/>
      <c r="K9" s="34"/>
      <c r="L9" s="32"/>
      <c r="M9" s="32"/>
      <c r="N9" s="32"/>
      <c r="O9" s="32"/>
      <c r="P9" s="32"/>
    </row>
    <row r="10" spans="1:16" ht="19.5" customHeight="1">
      <c r="A10" s="35" t="s">
        <v>60</v>
      </c>
      <c r="B10" s="22"/>
      <c r="C10" s="32"/>
      <c r="D10" s="33"/>
      <c r="E10" s="33"/>
      <c r="F10" s="33"/>
      <c r="G10" s="33"/>
      <c r="H10" s="33"/>
      <c r="I10" s="33"/>
      <c r="J10" s="33"/>
      <c r="K10" s="165" t="s">
        <v>61</v>
      </c>
      <c r="L10" s="166"/>
      <c r="M10" s="166"/>
      <c r="N10" s="166"/>
      <c r="O10" s="166"/>
      <c r="P10" s="166"/>
    </row>
    <row r="11" spans="1:16" ht="19.5" customHeight="1">
      <c r="A11" s="35" t="s">
        <v>62</v>
      </c>
      <c r="B11" s="22"/>
      <c r="C11" s="32"/>
      <c r="D11" s="33"/>
      <c r="E11" s="33"/>
      <c r="F11" s="33"/>
      <c r="G11" s="33"/>
      <c r="H11" s="33"/>
      <c r="I11" s="33"/>
      <c r="J11" s="33"/>
      <c r="K11" s="167">
        <v>37</v>
      </c>
      <c r="L11" s="168"/>
      <c r="M11" s="168"/>
      <c r="N11" s="168"/>
      <c r="O11" s="168"/>
      <c r="P11" s="168"/>
    </row>
    <row r="12" spans="1:16" ht="19.5" customHeight="1">
      <c r="A12" s="35" t="s">
        <v>63</v>
      </c>
      <c r="B12" s="22"/>
      <c r="C12" s="32"/>
      <c r="D12" s="33"/>
      <c r="E12" s="33"/>
      <c r="F12" s="33"/>
      <c r="G12" s="33"/>
      <c r="H12" s="33"/>
      <c r="I12" s="33"/>
      <c r="J12" s="33"/>
      <c r="K12" s="36"/>
      <c r="L12" s="37"/>
      <c r="M12" s="37"/>
      <c r="N12" s="37"/>
      <c r="O12" s="37"/>
      <c r="P12" s="37"/>
    </row>
    <row r="13" spans="1:16" ht="19.5" customHeight="1">
      <c r="A13" s="38" t="s">
        <v>64</v>
      </c>
      <c r="B13" s="22"/>
      <c r="C13" s="32"/>
      <c r="D13" s="33"/>
      <c r="E13" s="33"/>
      <c r="F13" s="33"/>
      <c r="G13" s="33"/>
      <c r="H13" s="33"/>
      <c r="I13" s="33"/>
      <c r="J13" s="33"/>
      <c r="K13" s="36"/>
      <c r="L13" s="37"/>
      <c r="M13" s="37"/>
      <c r="N13" s="37"/>
      <c r="O13" s="37"/>
      <c r="P13" s="37"/>
    </row>
    <row r="14" spans="1:16" ht="19.5" customHeight="1">
      <c r="A14" s="39" t="s">
        <v>65</v>
      </c>
      <c r="B14" s="40"/>
      <c r="C14" s="19"/>
      <c r="D14" s="28"/>
      <c r="E14" s="28"/>
      <c r="F14" s="28"/>
      <c r="G14" s="28"/>
      <c r="H14" s="28"/>
      <c r="I14" s="28"/>
      <c r="J14" s="28"/>
      <c r="K14" s="169" t="s">
        <v>66</v>
      </c>
      <c r="L14" s="170"/>
      <c r="M14" s="170"/>
      <c r="N14" s="170"/>
      <c r="O14" s="170"/>
      <c r="P14" s="170"/>
    </row>
    <row r="15" spans="1:16" ht="19.5" customHeight="1">
      <c r="A15" s="13" t="s">
        <v>67</v>
      </c>
      <c r="B15" s="13"/>
      <c r="K15" s="34"/>
      <c r="L15" s="32"/>
      <c r="M15" s="32"/>
      <c r="N15" s="32"/>
      <c r="O15" s="32"/>
      <c r="P15" s="32"/>
    </row>
    <row r="16" spans="1:16" ht="19.5" customHeight="1">
      <c r="A16" s="17" t="s">
        <v>68</v>
      </c>
      <c r="B16" s="17"/>
      <c r="K16" s="171"/>
      <c r="L16" s="172"/>
      <c r="M16" s="172"/>
      <c r="N16" s="172"/>
      <c r="O16" s="172"/>
      <c r="P16" s="172"/>
    </row>
    <row r="17" spans="1:18" ht="19.5" customHeight="1">
      <c r="A17" s="41"/>
      <c r="B17" s="41"/>
      <c r="K17" s="34"/>
      <c r="L17" s="32"/>
      <c r="M17" s="32"/>
      <c r="N17" s="32"/>
      <c r="O17" s="32"/>
      <c r="P17" s="32"/>
    </row>
    <row r="18" spans="1:18" ht="19.5" customHeight="1">
      <c r="A18" s="41"/>
      <c r="B18" s="41"/>
      <c r="K18" s="171"/>
      <c r="L18" s="172"/>
      <c r="M18" s="172"/>
      <c r="N18" s="172"/>
      <c r="O18" s="172"/>
      <c r="P18" s="172"/>
    </row>
    <row r="19" spans="1:18" ht="19.5" customHeight="1">
      <c r="A19" s="32"/>
      <c r="B19" s="32"/>
      <c r="K19" s="34"/>
      <c r="L19" s="32"/>
      <c r="M19" s="32"/>
      <c r="N19" s="32"/>
      <c r="O19" s="32"/>
      <c r="P19" s="32"/>
    </row>
    <row r="20" spans="1:18" ht="19.5" customHeight="1">
      <c r="A20" s="41"/>
      <c r="B20" s="42"/>
      <c r="C20" s="19"/>
      <c r="D20" s="28"/>
      <c r="E20" s="28"/>
      <c r="F20" s="28"/>
      <c r="G20" s="28"/>
      <c r="H20" s="28"/>
      <c r="I20" s="28"/>
      <c r="J20" s="28"/>
      <c r="K20" s="34"/>
      <c r="L20" s="43"/>
      <c r="M20" s="43"/>
      <c r="N20" s="43"/>
      <c r="O20" s="43"/>
      <c r="P20" s="43"/>
    </row>
    <row r="21" spans="1:18" ht="19.5" customHeight="1">
      <c r="A21" s="24" t="s">
        <v>69</v>
      </c>
      <c r="B21" s="13"/>
      <c r="C21" s="44"/>
      <c r="D21" s="45"/>
      <c r="E21" s="46" t="s">
        <v>70</v>
      </c>
      <c r="F21" s="45"/>
      <c r="G21" s="24"/>
      <c r="H21" s="24"/>
      <c r="I21" s="24"/>
      <c r="J21" s="47"/>
      <c r="K21" s="34"/>
      <c r="L21" s="43"/>
      <c r="M21" s="43"/>
      <c r="N21" s="43"/>
      <c r="O21" s="43"/>
      <c r="P21" s="43"/>
    </row>
    <row r="22" spans="1:18" ht="19.5" customHeight="1">
      <c r="A22" s="173" t="s">
        <v>71</v>
      </c>
      <c r="B22" s="173"/>
      <c r="C22" s="173"/>
      <c r="D22" s="174"/>
      <c r="E22" s="175" t="s">
        <v>72</v>
      </c>
      <c r="F22" s="176"/>
      <c r="G22" s="176"/>
      <c r="H22" s="176"/>
      <c r="I22" s="176"/>
      <c r="J22" s="177"/>
      <c r="K22" s="34"/>
      <c r="L22" s="32"/>
      <c r="M22" s="32"/>
      <c r="N22" s="32"/>
      <c r="O22" s="32"/>
      <c r="P22" s="32"/>
    </row>
    <row r="23" spans="1:18" ht="19.5" customHeight="1">
      <c r="A23" s="48" t="s">
        <v>73</v>
      </c>
      <c r="B23" s="13"/>
      <c r="C23" s="44"/>
      <c r="D23" s="30"/>
      <c r="E23" s="49" t="s">
        <v>74</v>
      </c>
      <c r="F23" s="50"/>
      <c r="G23" s="48"/>
      <c r="H23" s="48"/>
      <c r="I23" s="48"/>
      <c r="J23" s="51"/>
      <c r="K23" s="34"/>
      <c r="L23" s="43"/>
      <c r="M23" s="43"/>
      <c r="N23" s="43"/>
      <c r="O23" s="43"/>
      <c r="P23" s="43"/>
    </row>
    <row r="24" spans="1:18" s="32" customFormat="1" ht="19.5" customHeight="1">
      <c r="A24" s="178" t="s">
        <v>75</v>
      </c>
      <c r="B24" s="178"/>
      <c r="C24" s="178"/>
      <c r="D24" s="179"/>
      <c r="E24" s="180">
        <f>O3</f>
        <v>43697</v>
      </c>
      <c r="F24" s="181"/>
      <c r="G24" s="181"/>
      <c r="H24" s="181"/>
      <c r="I24" s="181"/>
      <c r="J24" s="182"/>
      <c r="K24" s="52"/>
      <c r="L24" s="53"/>
      <c r="M24" s="53"/>
      <c r="N24" s="53"/>
      <c r="O24" s="53"/>
      <c r="P24" s="53"/>
    </row>
    <row r="25" spans="1:18" ht="19.5" customHeight="1">
      <c r="A25" s="54"/>
      <c r="B25" s="54"/>
      <c r="O25" s="183"/>
      <c r="P25" s="183"/>
    </row>
    <row r="26" spans="1:18" ht="44.25" customHeight="1">
      <c r="A26" s="162" t="s">
        <v>76</v>
      </c>
      <c r="B26" s="163"/>
      <c r="C26" s="55" t="s">
        <v>77</v>
      </c>
      <c r="D26" s="56" t="s">
        <v>78</v>
      </c>
      <c r="E26" s="56" t="s">
        <v>79</v>
      </c>
      <c r="F26" s="56" t="s">
        <v>80</v>
      </c>
      <c r="G26" s="56" t="s">
        <v>81</v>
      </c>
      <c r="H26" s="56" t="s">
        <v>82</v>
      </c>
      <c r="I26" s="56" t="s">
        <v>83</v>
      </c>
      <c r="J26" s="56" t="s">
        <v>84</v>
      </c>
      <c r="K26" s="55" t="s">
        <v>85</v>
      </c>
      <c r="L26" s="55" t="s">
        <v>86</v>
      </c>
      <c r="M26" s="55" t="s">
        <v>87</v>
      </c>
      <c r="N26" s="55" t="s">
        <v>144</v>
      </c>
      <c r="O26" s="55" t="s">
        <v>88</v>
      </c>
      <c r="P26" s="55" t="s">
        <v>89</v>
      </c>
      <c r="Q26" s="57"/>
      <c r="R26" s="57"/>
    </row>
    <row r="27" spans="1:18" ht="19.5" customHeight="1">
      <c r="A27" s="152" t="s">
        <v>90</v>
      </c>
      <c r="B27" s="153"/>
      <c r="C27" s="58" t="str">
        <f>'MC List for Amovina'!F7</f>
        <v>8422.40-9030</v>
      </c>
      <c r="D27" s="58" t="str">
        <f>'MC List for Amovina'!G7</f>
        <v>VACUUM PACKING M/C</v>
      </c>
      <c r="E27" s="58" t="str">
        <f>'MC List for Amovina'!H7</f>
        <v>GVD-45E</v>
      </c>
      <c r="F27" s="58" t="str">
        <f>'MC List for Amovina'!I7</f>
        <v>E19081403</v>
      </c>
      <c r="G27" s="58" t="str">
        <f>'MC List for Amovina'!J7</f>
        <v>NEW</v>
      </c>
      <c r="H27" s="58">
        <f>'MC List for Amovina'!K7</f>
        <v>2019</v>
      </c>
      <c r="I27" s="58" t="str">
        <f>'MC List for Amovina'!L7</f>
        <v>GASUNG PACK</v>
      </c>
      <c r="J27" s="58" t="str">
        <f>'MC List for Amovina'!M7</f>
        <v>KOREA</v>
      </c>
      <c r="K27" s="59">
        <f>'MC List for Amovina'!N7</f>
        <v>1</v>
      </c>
      <c r="L27" s="60">
        <v>3256</v>
      </c>
      <c r="M27" s="61">
        <f>K27*L27</f>
        <v>3256</v>
      </c>
      <c r="N27" s="138" t="s">
        <v>91</v>
      </c>
      <c r="O27" s="62">
        <f>'Packing Details'!G6</f>
        <v>11</v>
      </c>
      <c r="P27" s="62">
        <f>'Packing Details'!H6</f>
        <v>11</v>
      </c>
      <c r="Q27" s="63"/>
      <c r="R27" s="63"/>
    </row>
    <row r="28" spans="1:18" ht="19.5" customHeight="1">
      <c r="A28" s="154" t="s">
        <v>92</v>
      </c>
      <c r="B28" s="155"/>
      <c r="C28" s="58"/>
      <c r="D28" s="58"/>
      <c r="E28" s="58"/>
      <c r="F28" s="58"/>
      <c r="G28" s="58"/>
      <c r="H28" s="58"/>
      <c r="I28" s="58"/>
      <c r="J28" s="58"/>
      <c r="K28" s="59"/>
      <c r="L28" s="60"/>
      <c r="M28" s="61"/>
      <c r="N28" s="138"/>
      <c r="O28" s="62"/>
      <c r="P28" s="62"/>
      <c r="Q28" s="63"/>
      <c r="R28" s="63"/>
    </row>
    <row r="29" spans="1:18" ht="19.5" customHeight="1">
      <c r="A29" s="64" t="str">
        <f>N26</f>
        <v>PALLET NO.</v>
      </c>
      <c r="B29" s="65" t="str">
        <f>N42</f>
        <v>1-1</v>
      </c>
      <c r="C29" s="58"/>
      <c r="D29" s="66"/>
      <c r="E29" s="66"/>
      <c r="F29" s="66"/>
      <c r="G29" s="66"/>
      <c r="H29" s="66"/>
      <c r="I29" s="66"/>
      <c r="J29" s="67"/>
      <c r="K29" s="68"/>
      <c r="L29" s="69"/>
      <c r="M29" s="70"/>
      <c r="N29" s="71"/>
      <c r="O29" s="72"/>
      <c r="P29" s="72"/>
    </row>
    <row r="30" spans="1:18" ht="19.5" customHeight="1">
      <c r="A30" s="156" t="str">
        <f>L3</f>
        <v>VMC-ANT-190820A</v>
      </c>
      <c r="B30" s="157"/>
      <c r="C30" s="58"/>
      <c r="D30" s="66"/>
      <c r="E30" s="66"/>
      <c r="F30" s="66"/>
      <c r="G30" s="66"/>
      <c r="H30" s="66"/>
      <c r="I30" s="66"/>
      <c r="J30" s="67"/>
      <c r="K30" s="68"/>
      <c r="L30" s="69"/>
      <c r="M30" s="70"/>
      <c r="N30" s="71"/>
      <c r="O30" s="72"/>
      <c r="P30" s="72"/>
    </row>
    <row r="31" spans="1:18" ht="19.5" customHeight="1">
      <c r="A31" s="158" t="str">
        <f>D26</f>
        <v>M/C NAME</v>
      </c>
      <c r="B31" s="155"/>
      <c r="C31" s="58"/>
      <c r="D31" s="66"/>
      <c r="E31" s="66"/>
      <c r="F31" s="66"/>
      <c r="G31" s="66"/>
      <c r="H31" s="66"/>
      <c r="I31" s="66"/>
      <c r="J31" s="67"/>
      <c r="K31" s="68"/>
      <c r="L31" s="69"/>
      <c r="M31" s="70"/>
      <c r="N31" s="71"/>
      <c r="O31" s="72"/>
      <c r="P31" s="72"/>
    </row>
    <row r="32" spans="1:18" ht="19.5" customHeight="1">
      <c r="A32" s="159" t="str">
        <f>J26</f>
        <v>C/O/O</v>
      </c>
      <c r="B32" s="160"/>
      <c r="C32" s="58"/>
      <c r="D32" s="66"/>
      <c r="E32" s="66"/>
      <c r="F32" s="66"/>
      <c r="G32" s="66"/>
      <c r="H32" s="66"/>
      <c r="I32" s="66"/>
      <c r="J32" s="67"/>
      <c r="K32" s="68"/>
      <c r="L32" s="69"/>
      <c r="M32" s="70"/>
      <c r="N32" s="71"/>
      <c r="O32" s="72"/>
      <c r="P32" s="72"/>
    </row>
    <row r="33" spans="1:16" ht="19.5" customHeight="1">
      <c r="A33" s="73"/>
      <c r="B33" s="73"/>
      <c r="C33" s="58"/>
      <c r="D33" s="66"/>
      <c r="E33" s="66"/>
      <c r="F33" s="66"/>
      <c r="G33" s="66"/>
      <c r="H33" s="66"/>
      <c r="I33" s="66"/>
      <c r="J33" s="67"/>
      <c r="K33" s="68"/>
      <c r="L33" s="69"/>
      <c r="M33" s="70"/>
      <c r="N33" s="71"/>
      <c r="O33" s="72"/>
      <c r="P33" s="72"/>
    </row>
    <row r="34" spans="1:16" ht="19.5" customHeight="1">
      <c r="A34" s="73"/>
      <c r="B34" s="73"/>
      <c r="C34" s="58"/>
      <c r="D34" s="66"/>
      <c r="E34" s="66"/>
      <c r="F34" s="66"/>
      <c r="G34" s="66"/>
      <c r="H34" s="66"/>
      <c r="I34" s="66"/>
      <c r="J34" s="67"/>
      <c r="K34" s="68"/>
      <c r="L34" s="69"/>
      <c r="M34" s="70"/>
      <c r="N34" s="71"/>
      <c r="O34" s="72"/>
      <c r="P34" s="72"/>
    </row>
    <row r="35" spans="1:16" ht="19.5" customHeight="1">
      <c r="A35" s="73"/>
      <c r="B35" s="73"/>
      <c r="C35" s="58"/>
      <c r="D35" s="66"/>
      <c r="E35" s="66"/>
      <c r="F35" s="66"/>
      <c r="G35" s="66"/>
      <c r="H35" s="66"/>
      <c r="I35" s="66"/>
      <c r="J35" s="67"/>
      <c r="K35" s="68"/>
      <c r="L35" s="69"/>
      <c r="M35" s="70"/>
      <c r="N35" s="71"/>
      <c r="O35" s="72"/>
      <c r="P35" s="72"/>
    </row>
    <row r="36" spans="1:16" ht="19.5" customHeight="1">
      <c r="A36" s="73"/>
      <c r="B36" s="73"/>
      <c r="C36" s="58"/>
      <c r="D36" s="66"/>
      <c r="E36" s="66"/>
      <c r="F36" s="66"/>
      <c r="G36" s="66"/>
      <c r="H36" s="66"/>
      <c r="I36" s="66"/>
      <c r="J36" s="67"/>
      <c r="K36" s="68"/>
      <c r="L36" s="69"/>
      <c r="M36" s="70"/>
      <c r="N36" s="71"/>
      <c r="O36" s="72"/>
      <c r="P36" s="72"/>
    </row>
    <row r="37" spans="1:16" ht="19.5" customHeight="1">
      <c r="A37" s="73"/>
      <c r="B37" s="73"/>
      <c r="C37" s="58"/>
      <c r="D37" s="66"/>
      <c r="E37" s="66"/>
      <c r="F37" s="66"/>
      <c r="G37" s="66"/>
      <c r="H37" s="66"/>
      <c r="I37" s="66"/>
      <c r="J37" s="67"/>
      <c r="K37" s="68"/>
      <c r="L37" s="69"/>
      <c r="M37" s="70"/>
      <c r="N37" s="71"/>
      <c r="O37" s="72"/>
      <c r="P37" s="72"/>
    </row>
    <row r="38" spans="1:16" ht="19.5" customHeight="1">
      <c r="A38" s="73"/>
      <c r="B38" s="73"/>
      <c r="C38" s="58"/>
      <c r="D38" s="66"/>
      <c r="E38" s="66"/>
      <c r="F38" s="66"/>
      <c r="G38" s="66"/>
      <c r="H38" s="66"/>
      <c r="I38" s="66"/>
      <c r="J38" s="67"/>
      <c r="K38" s="68"/>
      <c r="L38" s="69"/>
      <c r="M38" s="70"/>
      <c r="N38" s="71"/>
      <c r="O38" s="72"/>
      <c r="P38" s="72"/>
    </row>
    <row r="39" spans="1:16" ht="19.5" customHeight="1">
      <c r="A39" s="73"/>
      <c r="B39" s="73"/>
      <c r="C39" s="58"/>
      <c r="D39" s="66"/>
      <c r="E39" s="66"/>
      <c r="F39" s="66"/>
      <c r="G39" s="66"/>
      <c r="H39" s="66"/>
      <c r="I39" s="66"/>
      <c r="J39" s="67"/>
      <c r="K39" s="68"/>
      <c r="L39" s="69"/>
      <c r="M39" s="70"/>
      <c r="N39" s="71"/>
      <c r="O39" s="72"/>
      <c r="P39" s="72"/>
    </row>
    <row r="40" spans="1:16" ht="19.5" customHeight="1">
      <c r="A40" s="73"/>
      <c r="B40" s="73"/>
      <c r="C40" s="58"/>
      <c r="D40" s="66"/>
      <c r="E40" s="66"/>
      <c r="F40" s="66"/>
      <c r="G40" s="66"/>
      <c r="H40" s="66"/>
      <c r="I40" s="66"/>
      <c r="J40" s="67"/>
      <c r="K40" s="68"/>
      <c r="L40" s="69"/>
      <c r="M40" s="70"/>
      <c r="N40" s="71"/>
      <c r="O40" s="72"/>
      <c r="P40" s="72"/>
    </row>
    <row r="41" spans="1:16" ht="19.5" customHeight="1">
      <c r="A41" s="73"/>
      <c r="B41" s="73"/>
      <c r="C41" s="58"/>
      <c r="D41" s="66"/>
      <c r="E41" s="66"/>
      <c r="F41" s="66"/>
      <c r="G41" s="66"/>
      <c r="H41" s="66"/>
      <c r="I41" s="66"/>
      <c r="J41" s="67"/>
      <c r="K41" s="68"/>
      <c r="L41" s="69"/>
      <c r="M41" s="70"/>
      <c r="N41" s="71"/>
      <c r="O41" s="72"/>
      <c r="P41" s="72"/>
    </row>
    <row r="42" spans="1:16" ht="19.5" customHeight="1">
      <c r="C42" s="161" t="s">
        <v>93</v>
      </c>
      <c r="D42" s="161"/>
      <c r="E42" s="74"/>
      <c r="F42" s="74"/>
      <c r="G42" s="74"/>
      <c r="H42" s="74"/>
      <c r="I42" s="74"/>
      <c r="J42" s="74"/>
      <c r="K42" s="75">
        <f>SUM(K27:K41)</f>
        <v>1</v>
      </c>
      <c r="L42" s="76"/>
      <c r="M42" s="77">
        <f>SUM(M27:M41)</f>
        <v>3256</v>
      </c>
      <c r="N42" s="78" t="str">
        <f>N27</f>
        <v>1-1</v>
      </c>
      <c r="O42" s="79">
        <f>SUM(O27:O41)</f>
        <v>11</v>
      </c>
      <c r="P42" s="79">
        <f>SUM(P27:P41)</f>
        <v>11</v>
      </c>
    </row>
    <row r="43" spans="1:16" ht="19.5" customHeight="1">
      <c r="P43" s="15"/>
    </row>
    <row r="44" spans="1:16" ht="19.5" customHeight="1">
      <c r="M44" s="80"/>
      <c r="P44" s="15"/>
    </row>
    <row r="45" spans="1:16" ht="19.5" customHeight="1">
      <c r="P45" s="15"/>
    </row>
    <row r="46" spans="1:16" ht="19.5" customHeight="1">
      <c r="C46" s="81"/>
    </row>
    <row r="47" spans="1:16" ht="19.5" customHeight="1">
      <c r="A47" s="32"/>
      <c r="B47" s="32"/>
      <c r="C47" s="82"/>
    </row>
    <row r="48" spans="1:16" ht="19.5" customHeight="1">
      <c r="C48" s="83"/>
    </row>
    <row r="49" spans="1:16" ht="19.5" customHeight="1">
      <c r="A49" s="14" t="s">
        <v>94</v>
      </c>
      <c r="B49" s="150">
        <v>520000</v>
      </c>
      <c r="C49" s="150"/>
    </row>
    <row r="50" spans="1:16" ht="19.5" customHeight="1">
      <c r="A50" s="32" t="s">
        <v>95</v>
      </c>
      <c r="B50" s="151">
        <f>M42*110%*0.0189%*1150</f>
        <v>778.46076000000016</v>
      </c>
      <c r="C50" s="151"/>
      <c r="L50" s="84" t="s">
        <v>96</v>
      </c>
      <c r="M50" s="19"/>
      <c r="N50" s="19"/>
      <c r="O50" s="19"/>
      <c r="P50" s="19"/>
    </row>
    <row r="51" spans="1:16" ht="9" customHeight="1"/>
  </sheetData>
  <mergeCells count="20">
    <mergeCell ref="A26:B26"/>
    <mergeCell ref="A1:P1"/>
    <mergeCell ref="K10:P10"/>
    <mergeCell ref="K11:P11"/>
    <mergeCell ref="K14:P14"/>
    <mergeCell ref="K16:P16"/>
    <mergeCell ref="K18:P18"/>
    <mergeCell ref="A22:D22"/>
    <mergeCell ref="E22:J22"/>
    <mergeCell ref="A24:D24"/>
    <mergeCell ref="E24:J24"/>
    <mergeCell ref="O25:P25"/>
    <mergeCell ref="B49:C49"/>
    <mergeCell ref="B50:C50"/>
    <mergeCell ref="A27:B27"/>
    <mergeCell ref="A28:B28"/>
    <mergeCell ref="A30:B30"/>
    <mergeCell ref="A31:B31"/>
    <mergeCell ref="A32:B32"/>
    <mergeCell ref="C42:D42"/>
  </mergeCells>
  <phoneticPr fontId="3" type="noConversion"/>
  <printOptions horizontalCentered="1" verticalCentered="1"/>
  <pageMargins left="0.16" right="0.15748031496062992" top="0.16" bottom="0.16" header="0.15748031496062992" footer="0.15748031496062992"/>
  <pageSetup paperSize="9"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6"/>
  <sheetViews>
    <sheetView showGridLines="0" tabSelected="1" workbookViewId="0">
      <pane ySplit="4" topLeftCell="A5" activePane="bottomLeft" state="frozen"/>
      <selection pane="bottomLeft" activeCell="C5" sqref="C5"/>
    </sheetView>
  </sheetViews>
  <sheetFormatPr defaultRowHeight="17.399999999999999"/>
  <cols>
    <col min="1" max="1" width="0.5" customWidth="1"/>
    <col min="3" max="3" width="24.19921875" customWidth="1"/>
    <col min="4" max="4" width="18.19921875" customWidth="1"/>
    <col min="5" max="5" width="19.3984375" customWidth="1"/>
    <col min="6" max="6" width="12.69921875" customWidth="1"/>
    <col min="7" max="7" width="14.09765625" customWidth="1"/>
    <col min="8" max="9" width="16.59765625" customWidth="1"/>
    <col min="10" max="10" width="100.5" customWidth="1"/>
  </cols>
  <sheetData>
    <row r="1" spans="1:10" ht="6" customHeight="1"/>
    <row r="2" spans="1:10" ht="36">
      <c r="B2" s="1" t="s">
        <v>29</v>
      </c>
    </row>
    <row r="3" spans="1:10">
      <c r="B3" s="7"/>
      <c r="C3" s="6"/>
    </row>
    <row r="4" spans="1:10" ht="50.25" customHeight="1">
      <c r="A4" s="2"/>
      <c r="B4" s="137" t="s">
        <v>0</v>
      </c>
      <c r="C4" s="136" t="s">
        <v>5</v>
      </c>
      <c r="D4" s="136" t="s">
        <v>6</v>
      </c>
      <c r="E4" s="136" t="s">
        <v>8</v>
      </c>
      <c r="F4" s="136" t="s">
        <v>143</v>
      </c>
      <c r="G4" s="136" t="s">
        <v>27</v>
      </c>
      <c r="H4" s="136" t="s">
        <v>28</v>
      </c>
      <c r="I4" s="140" t="s">
        <v>142</v>
      </c>
      <c r="J4" s="11" t="s">
        <v>38</v>
      </c>
    </row>
    <row r="5" spans="1:10" ht="147.75" customHeight="1">
      <c r="A5" s="4"/>
      <c r="B5" s="146">
        <v>1</v>
      </c>
      <c r="C5" s="10" t="s">
        <v>153</v>
      </c>
      <c r="D5" s="10" t="s">
        <v>154</v>
      </c>
      <c r="E5" s="10" t="s">
        <v>155</v>
      </c>
      <c r="F5" s="147" t="s">
        <v>45</v>
      </c>
      <c r="G5" s="148">
        <v>11</v>
      </c>
      <c r="H5" s="149">
        <v>11</v>
      </c>
      <c r="I5" s="149" t="s">
        <v>156</v>
      </c>
      <c r="J5" s="185"/>
    </row>
    <row r="6" spans="1:10" ht="27.75" customHeight="1">
      <c r="B6" s="184" t="s">
        <v>36</v>
      </c>
      <c r="C6" s="184"/>
      <c r="D6" s="184"/>
      <c r="E6" s="184"/>
      <c r="F6" s="8" t="str">
        <f>F5</f>
        <v>1</v>
      </c>
      <c r="G6" s="9">
        <f>SUM(G5:G5)</f>
        <v>11</v>
      </c>
      <c r="H6" s="9">
        <f>SUM(H5:H5)</f>
        <v>11</v>
      </c>
      <c r="I6" s="9"/>
      <c r="J6" s="185"/>
    </row>
  </sheetData>
  <mergeCells count="2">
    <mergeCell ref="B6:E6"/>
    <mergeCell ref="J5:J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1:Z7"/>
  <sheetViews>
    <sheetView showGridLines="0" topLeftCell="A4" zoomScale="110" zoomScaleNormal="110" zoomScaleSheetLayoutView="80" workbookViewId="0">
      <selection activeCell="G7" sqref="G7"/>
    </sheetView>
  </sheetViews>
  <sheetFormatPr defaultRowHeight="17.399999999999999"/>
  <cols>
    <col min="1" max="1" width="0.5" customWidth="1"/>
    <col min="2" max="2" width="7.09765625" customWidth="1"/>
    <col min="3" max="3" width="35.3984375" customWidth="1"/>
    <col min="4" max="4" width="42.09765625" customWidth="1"/>
    <col min="5" max="5" width="19.19921875" bestFit="1" customWidth="1"/>
    <col min="6" max="6" width="15.19921875" customWidth="1"/>
    <col min="7" max="7" width="19.19921875" bestFit="1" customWidth="1"/>
    <col min="8" max="8" width="14" bestFit="1" customWidth="1"/>
    <col min="9" max="9" width="16.69921875" bestFit="1" customWidth="1"/>
    <col min="10" max="10" width="13.69921875" bestFit="1" customWidth="1"/>
    <col min="11" max="11" width="15" customWidth="1"/>
    <col min="12" max="12" width="15.69921875" customWidth="1"/>
    <col min="13" max="13" width="10.69921875" customWidth="1"/>
    <col min="14" max="14" width="13.09765625" customWidth="1"/>
    <col min="15" max="15" width="12.8984375" customWidth="1"/>
    <col min="16" max="16" width="12.59765625" customWidth="1"/>
    <col min="17" max="17" width="10.19921875" customWidth="1"/>
    <col min="18" max="20" width="10.3984375" customWidth="1"/>
    <col min="21" max="21" width="14.09765625" bestFit="1" customWidth="1"/>
    <col min="22" max="22" width="7.3984375" bestFit="1" customWidth="1"/>
    <col min="23" max="23" width="14" customWidth="1"/>
    <col min="24" max="24" width="24.8984375" bestFit="1" customWidth="1"/>
    <col min="25" max="25" width="28.59765625" bestFit="1" customWidth="1"/>
    <col min="26" max="26" width="9.59765625" bestFit="1" customWidth="1"/>
  </cols>
  <sheetData>
    <row r="1" spans="2:26" ht="6" customHeight="1"/>
    <row r="2" spans="2:26" ht="23.25" customHeight="1">
      <c r="B2" s="198" t="s">
        <v>151</v>
      </c>
      <c r="C2" s="188"/>
      <c r="D2" s="189"/>
      <c r="E2" s="142" t="s">
        <v>31</v>
      </c>
      <c r="F2" s="143" t="s">
        <v>37</v>
      </c>
      <c r="G2" s="142" t="s">
        <v>34</v>
      </c>
      <c r="H2" s="144">
        <v>43696</v>
      </c>
      <c r="I2" s="145" t="s">
        <v>30</v>
      </c>
      <c r="J2" s="143" t="s">
        <v>146</v>
      </c>
    </row>
    <row r="3" spans="2:26" ht="23.25" customHeight="1">
      <c r="B3" s="188"/>
      <c r="C3" s="188"/>
      <c r="D3" s="189"/>
      <c r="E3" s="142" t="s">
        <v>32</v>
      </c>
      <c r="F3" s="143"/>
      <c r="G3" s="142" t="s">
        <v>35</v>
      </c>
      <c r="H3" s="144">
        <v>43697</v>
      </c>
      <c r="I3" s="145" t="s">
        <v>33</v>
      </c>
      <c r="J3" s="143" t="s">
        <v>147</v>
      </c>
    </row>
    <row r="4" spans="2:26">
      <c r="B4" s="7" t="s">
        <v>24</v>
      </c>
      <c r="C4" s="6"/>
    </row>
    <row r="5" spans="2:26" s="2" customFormat="1" ht="36" customHeight="1">
      <c r="B5" s="187" t="s">
        <v>0</v>
      </c>
      <c r="C5" s="186" t="s">
        <v>2</v>
      </c>
      <c r="D5" s="186" t="s">
        <v>3</v>
      </c>
      <c r="E5" s="186" t="s">
        <v>4</v>
      </c>
      <c r="F5" s="187" t="s">
        <v>1</v>
      </c>
      <c r="G5" s="186" t="s">
        <v>5</v>
      </c>
      <c r="H5" s="186" t="s">
        <v>7</v>
      </c>
      <c r="I5" s="186" t="s">
        <v>9</v>
      </c>
      <c r="J5" s="186" t="s">
        <v>20</v>
      </c>
      <c r="K5" s="186" t="s">
        <v>23</v>
      </c>
      <c r="L5" s="186" t="s">
        <v>10</v>
      </c>
      <c r="M5" s="186" t="s">
        <v>25</v>
      </c>
      <c r="N5" s="186" t="s">
        <v>19</v>
      </c>
      <c r="O5" s="186" t="s">
        <v>26</v>
      </c>
      <c r="P5" s="186" t="s">
        <v>17</v>
      </c>
      <c r="Q5" s="186" t="s">
        <v>18</v>
      </c>
      <c r="R5" s="186" t="s">
        <v>12</v>
      </c>
      <c r="S5" s="187"/>
      <c r="T5" s="187"/>
      <c r="U5" s="187"/>
      <c r="V5" s="186" t="s">
        <v>21</v>
      </c>
      <c r="W5" s="186" t="s">
        <v>150</v>
      </c>
      <c r="X5" s="186" t="s">
        <v>148</v>
      </c>
      <c r="Y5" s="186" t="s">
        <v>149</v>
      </c>
      <c r="Z5" s="186" t="s">
        <v>22</v>
      </c>
    </row>
    <row r="6" spans="2:26" s="2" customFormat="1" ht="36" customHeight="1"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6"/>
      <c r="N6" s="187"/>
      <c r="O6" s="187"/>
      <c r="P6" s="187"/>
      <c r="Q6" s="187"/>
      <c r="R6" s="11" t="s">
        <v>13</v>
      </c>
      <c r="S6" s="11" t="s">
        <v>14</v>
      </c>
      <c r="T6" s="11" t="s">
        <v>15</v>
      </c>
      <c r="U6" s="11" t="s">
        <v>16</v>
      </c>
      <c r="V6" s="187"/>
      <c r="W6" s="187"/>
      <c r="X6" s="187"/>
      <c r="Y6" s="187"/>
      <c r="Z6" s="187"/>
    </row>
    <row r="7" spans="2:26" s="4" customFormat="1" ht="231" customHeight="1">
      <c r="B7" s="3">
        <v>1</v>
      </c>
      <c r="C7" s="139"/>
      <c r="D7" s="3"/>
      <c r="E7" s="5" t="s">
        <v>152</v>
      </c>
      <c r="F7" s="141" t="s">
        <v>141</v>
      </c>
      <c r="G7" s="5" t="s">
        <v>138</v>
      </c>
      <c r="H7" s="10" t="s">
        <v>42</v>
      </c>
      <c r="I7" s="10" t="s">
        <v>46</v>
      </c>
      <c r="J7" s="3" t="s">
        <v>39</v>
      </c>
      <c r="K7" s="3">
        <v>2019</v>
      </c>
      <c r="L7" s="5" t="s">
        <v>139</v>
      </c>
      <c r="M7" s="3" t="s">
        <v>40</v>
      </c>
      <c r="N7" s="3">
        <v>1</v>
      </c>
      <c r="O7" s="5" t="s">
        <v>140</v>
      </c>
      <c r="P7" s="3">
        <v>220</v>
      </c>
      <c r="Q7" s="3">
        <v>60</v>
      </c>
      <c r="R7" s="3">
        <v>520</v>
      </c>
      <c r="S7" s="3">
        <v>490</v>
      </c>
      <c r="T7" s="3">
        <v>1060</v>
      </c>
      <c r="U7" s="3">
        <v>80</v>
      </c>
      <c r="V7" s="5" t="s">
        <v>41</v>
      </c>
      <c r="W7" s="5" t="s">
        <v>140</v>
      </c>
      <c r="X7" s="5" t="s">
        <v>43</v>
      </c>
      <c r="Y7" s="5" t="s">
        <v>44</v>
      </c>
      <c r="Z7" s="3" t="s">
        <v>11</v>
      </c>
    </row>
  </sheetData>
  <mergeCells count="23">
    <mergeCell ref="F5:F6"/>
    <mergeCell ref="N5:N6"/>
    <mergeCell ref="K5:K6"/>
    <mergeCell ref="R5:U5"/>
    <mergeCell ref="B2:D3"/>
    <mergeCell ref="B5:B6"/>
    <mergeCell ref="C5:C6"/>
    <mergeCell ref="M5:M6"/>
    <mergeCell ref="J5:J6"/>
    <mergeCell ref="D5:D6"/>
    <mergeCell ref="I5:I6"/>
    <mergeCell ref="H5:H6"/>
    <mergeCell ref="E5:E6"/>
    <mergeCell ref="G5:G6"/>
    <mergeCell ref="O5:O6"/>
    <mergeCell ref="L5:L6"/>
    <mergeCell ref="P5:P6"/>
    <mergeCell ref="Q5:Q6"/>
    <mergeCell ref="Z5:Z6"/>
    <mergeCell ref="V5:V6"/>
    <mergeCell ref="Y5:Y6"/>
    <mergeCell ref="X5:X6"/>
    <mergeCell ref="W5:W6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L41"/>
  <sheetViews>
    <sheetView showGridLines="0" view="pageBreakPreview" zoomScaleNormal="100" zoomScaleSheetLayoutView="100" workbookViewId="0">
      <selection activeCell="N20" sqref="N20"/>
    </sheetView>
  </sheetViews>
  <sheetFormatPr defaultColWidth="9.09765625" defaultRowHeight="16.8"/>
  <cols>
    <col min="1" max="1" width="2.59765625" style="85" customWidth="1"/>
    <col min="2" max="2" width="20.19921875" style="86" customWidth="1"/>
    <col min="3" max="3" width="12.69921875" style="86" bestFit="1" customWidth="1"/>
    <col min="4" max="4" width="14.3984375" style="86" bestFit="1" customWidth="1"/>
    <col min="5" max="5" width="11.8984375" style="86" bestFit="1" customWidth="1"/>
    <col min="6" max="6" width="13.19921875" style="86" bestFit="1" customWidth="1"/>
    <col min="7" max="7" width="18.3984375" style="86" bestFit="1" customWidth="1"/>
    <col min="8" max="8" width="8" style="86" bestFit="1" customWidth="1"/>
    <col min="9" max="9" width="8.69921875" style="86" customWidth="1"/>
    <col min="10" max="10" width="10.5" style="86" bestFit="1" customWidth="1"/>
    <col min="11" max="11" width="15.69921875" style="86" customWidth="1"/>
    <col min="12" max="12" width="15.09765625" style="86" customWidth="1"/>
    <col min="13" max="16384" width="9.09765625" style="86"/>
  </cols>
  <sheetData>
    <row r="1" spans="1:11" ht="15.9" customHeight="1"/>
    <row r="2" spans="1:11" ht="33" customHeight="1">
      <c r="B2" s="192" t="s">
        <v>97</v>
      </c>
      <c r="C2" s="192"/>
      <c r="D2" s="192"/>
      <c r="E2" s="192"/>
      <c r="F2" s="192"/>
      <c r="G2" s="192"/>
      <c r="H2" s="192"/>
      <c r="I2" s="192"/>
      <c r="J2" s="192"/>
      <c r="K2" s="192"/>
    </row>
    <row r="3" spans="1:11" s="87" customFormat="1" ht="18.75" customHeight="1">
      <c r="A3" s="85"/>
      <c r="B3" s="193"/>
      <c r="C3" s="193"/>
      <c r="D3" s="193"/>
      <c r="E3" s="193"/>
      <c r="F3" s="193"/>
      <c r="G3" s="193"/>
      <c r="H3" s="193"/>
      <c r="I3" s="193"/>
    </row>
    <row r="4" spans="1:11" s="87" customFormat="1" ht="18.75" customHeight="1">
      <c r="A4" s="85"/>
      <c r="B4" s="88"/>
      <c r="C4" s="89"/>
      <c r="D4" s="89"/>
      <c r="E4" s="90"/>
      <c r="F4" s="90"/>
      <c r="G4" s="90"/>
      <c r="H4" s="90"/>
      <c r="I4" s="91" t="s">
        <v>98</v>
      </c>
      <c r="J4" s="194" t="str">
        <f>'CI &amp; PL'!L3</f>
        <v>VMC-ANT-190820A</v>
      </c>
      <c r="K4" s="194"/>
    </row>
    <row r="5" spans="1:11" s="87" customFormat="1" ht="18.75" customHeight="1">
      <c r="A5" s="85"/>
      <c r="B5" s="89"/>
      <c r="C5" s="89"/>
      <c r="D5" s="89"/>
      <c r="E5" s="92"/>
      <c r="F5" s="195"/>
      <c r="G5" s="195"/>
      <c r="H5" s="89"/>
      <c r="I5" s="91" t="s">
        <v>99</v>
      </c>
      <c r="J5" s="196">
        <f>'CI &amp; PL'!O3</f>
        <v>43697</v>
      </c>
      <c r="K5" s="196"/>
    </row>
    <row r="6" spans="1:11" s="87" customFormat="1" ht="18.75" customHeight="1">
      <c r="A6" s="85"/>
      <c r="B6" s="89"/>
      <c r="C6" s="89"/>
      <c r="D6" s="89"/>
      <c r="E6" s="89"/>
      <c r="F6" s="89"/>
      <c r="G6" s="89"/>
      <c r="H6" s="89"/>
      <c r="I6" s="89"/>
    </row>
    <row r="7" spans="1:11" s="95" customFormat="1" ht="18.75" customHeight="1">
      <c r="A7" s="93" t="s">
        <v>100</v>
      </c>
      <c r="B7" s="94"/>
      <c r="C7" s="94"/>
      <c r="D7" s="94"/>
      <c r="E7" s="94"/>
      <c r="F7" s="94"/>
      <c r="G7" s="94"/>
      <c r="H7" s="94"/>
      <c r="I7" s="94"/>
    </row>
    <row r="8" spans="1:11" s="95" customFormat="1" ht="18.75" customHeight="1">
      <c r="A8" s="96"/>
      <c r="B8" s="97" t="s">
        <v>101</v>
      </c>
      <c r="C8" s="98"/>
      <c r="D8" s="98"/>
      <c r="E8" s="99"/>
      <c r="F8" s="99"/>
      <c r="G8" s="99"/>
      <c r="H8" s="100"/>
      <c r="I8" s="100"/>
    </row>
    <row r="9" spans="1:11" s="95" customFormat="1" ht="18.75" customHeight="1">
      <c r="A9" s="96"/>
      <c r="B9" s="101" t="s">
        <v>102</v>
      </c>
      <c r="C9" s="98"/>
      <c r="D9" s="98"/>
      <c r="E9" s="102"/>
      <c r="F9" s="99"/>
      <c r="G9" s="99"/>
      <c r="H9" s="100"/>
      <c r="I9" s="100"/>
    </row>
    <row r="10" spans="1:11" s="95" customFormat="1" ht="18.75" customHeight="1">
      <c r="A10" s="96"/>
      <c r="B10" s="103" t="s">
        <v>103</v>
      </c>
      <c r="C10" s="103"/>
      <c r="D10" s="103"/>
      <c r="E10" s="103"/>
      <c r="F10" s="103"/>
      <c r="G10" s="103"/>
      <c r="H10" s="103"/>
      <c r="I10" s="103"/>
    </row>
    <row r="11" spans="1:11" s="95" customFormat="1" ht="18.75" customHeight="1">
      <c r="A11" s="96"/>
      <c r="B11" s="104"/>
      <c r="C11" s="104"/>
      <c r="D11" s="104"/>
      <c r="E11" s="104"/>
      <c r="F11" s="104"/>
      <c r="G11" s="104"/>
      <c r="H11" s="104"/>
      <c r="I11" s="104"/>
    </row>
    <row r="12" spans="1:11" s="95" customFormat="1" ht="18.75" customHeight="1">
      <c r="A12" s="93" t="s">
        <v>104</v>
      </c>
      <c r="B12" s="94"/>
      <c r="C12" s="94"/>
      <c r="D12" s="94"/>
      <c r="E12" s="94"/>
      <c r="F12" s="94"/>
      <c r="G12" s="94"/>
      <c r="H12" s="94"/>
      <c r="I12" s="94"/>
    </row>
    <row r="13" spans="1:11" s="95" customFormat="1" ht="18.75" customHeight="1">
      <c r="A13" s="96"/>
      <c r="B13" s="97" t="s">
        <v>105</v>
      </c>
      <c r="C13" s="98"/>
      <c r="D13" s="98"/>
      <c r="E13" s="99"/>
      <c r="F13" s="99"/>
      <c r="G13" s="99"/>
      <c r="H13" s="100"/>
      <c r="I13" s="100"/>
    </row>
    <row r="14" spans="1:11" s="95" customFormat="1" ht="18.75" customHeight="1">
      <c r="A14" s="96"/>
      <c r="B14" s="101" t="s">
        <v>106</v>
      </c>
      <c r="C14" s="105"/>
      <c r="D14" s="105"/>
      <c r="E14" s="105"/>
      <c r="F14" s="105"/>
      <c r="G14" s="105"/>
      <c r="H14" s="105"/>
      <c r="I14" s="105"/>
      <c r="J14" s="105"/>
    </row>
    <row r="15" spans="1:11" s="95" customFormat="1" ht="18.75" customHeight="1">
      <c r="A15" s="96"/>
      <c r="B15" s="103" t="s">
        <v>107</v>
      </c>
      <c r="C15" s="105"/>
      <c r="D15" s="105"/>
      <c r="E15" s="105"/>
      <c r="F15" s="105"/>
      <c r="G15" s="105"/>
      <c r="H15" s="105"/>
      <c r="I15" s="105"/>
      <c r="J15" s="105"/>
    </row>
    <row r="16" spans="1:11" s="95" customFormat="1" ht="18.75" customHeight="1">
      <c r="A16" s="96"/>
      <c r="B16" s="103"/>
      <c r="C16" s="98"/>
      <c r="D16" s="98"/>
      <c r="E16" s="99"/>
      <c r="F16" s="99"/>
      <c r="G16" s="99"/>
      <c r="H16" s="100"/>
      <c r="I16" s="100"/>
    </row>
    <row r="17" spans="1:12" s="95" customFormat="1" ht="18.75" customHeight="1">
      <c r="A17" s="96"/>
      <c r="B17" s="99" t="s">
        <v>108</v>
      </c>
      <c r="C17" s="98"/>
      <c r="D17" s="98"/>
      <c r="E17" s="99"/>
      <c r="F17" s="99"/>
      <c r="G17" s="99"/>
      <c r="H17" s="100"/>
      <c r="I17" s="100"/>
    </row>
    <row r="18" spans="1:12" s="95" customFormat="1" ht="18.75" customHeight="1">
      <c r="A18" s="96"/>
      <c r="B18" s="103"/>
      <c r="C18" s="98"/>
      <c r="D18" s="98"/>
      <c r="E18" s="99"/>
      <c r="F18" s="99"/>
      <c r="G18" s="99"/>
      <c r="H18" s="100"/>
      <c r="I18" s="100"/>
    </row>
    <row r="19" spans="1:12" s="95" customFormat="1" ht="18.75" customHeight="1">
      <c r="A19" s="96" t="s">
        <v>109</v>
      </c>
      <c r="B19" s="106"/>
      <c r="C19" s="106"/>
      <c r="D19" s="106"/>
      <c r="E19" s="106"/>
      <c r="F19" s="106"/>
      <c r="G19" s="106"/>
      <c r="H19" s="106"/>
      <c r="I19" s="106"/>
    </row>
    <row r="20" spans="1:12" s="95" customFormat="1" ht="18.75" customHeight="1">
      <c r="A20" s="96"/>
      <c r="B20" s="107" t="s">
        <v>110</v>
      </c>
      <c r="C20" s="197">
        <f>'CI &amp; PL'!M42</f>
        <v>3256</v>
      </c>
      <c r="D20" s="197"/>
      <c r="E20" s="106"/>
      <c r="F20" s="108"/>
      <c r="G20" s="108"/>
      <c r="H20" s="108"/>
      <c r="I20" s="108"/>
    </row>
    <row r="21" spans="1:12" s="95" customFormat="1" ht="18.75" customHeight="1">
      <c r="A21" s="96"/>
      <c r="B21" s="107" t="s">
        <v>111</v>
      </c>
      <c r="C21" s="109"/>
      <c r="D21" s="109"/>
      <c r="E21" s="109"/>
      <c r="F21" s="109"/>
      <c r="G21" s="109"/>
      <c r="H21" s="109"/>
      <c r="I21" s="109"/>
    </row>
    <row r="22" spans="1:12" s="95" customFormat="1" ht="39" customHeight="1">
      <c r="A22" s="96"/>
      <c r="B22" s="110" t="s">
        <v>112</v>
      </c>
      <c r="C22" s="110" t="s">
        <v>113</v>
      </c>
      <c r="D22" s="110" t="s">
        <v>80</v>
      </c>
      <c r="E22" s="110" t="s">
        <v>114</v>
      </c>
      <c r="F22" s="111" t="s">
        <v>115</v>
      </c>
      <c r="G22" s="110" t="s">
        <v>116</v>
      </c>
      <c r="H22" s="110" t="s">
        <v>117</v>
      </c>
      <c r="I22" s="110" t="s">
        <v>118</v>
      </c>
      <c r="J22" s="110" t="s">
        <v>119</v>
      </c>
      <c r="K22" s="110" t="s">
        <v>120</v>
      </c>
    </row>
    <row r="23" spans="1:12" s="95" customFormat="1" ht="18.75" customHeight="1">
      <c r="A23" s="96"/>
      <c r="B23" s="112" t="str">
        <f>'CI &amp; PL'!D27</f>
        <v>VACUUM PACKING M/C</v>
      </c>
      <c r="C23" s="112" t="str">
        <f>'CI &amp; PL'!E27</f>
        <v>GVD-45E</v>
      </c>
      <c r="D23" s="112" t="str">
        <f>'CI &amp; PL'!F27</f>
        <v>E19081403</v>
      </c>
      <c r="E23" s="112" t="str">
        <f>'CI &amp; PL'!G27</f>
        <v>NEW</v>
      </c>
      <c r="F23" s="112">
        <f>'CI &amp; PL'!H27</f>
        <v>2019</v>
      </c>
      <c r="G23" s="112" t="str">
        <f>'CI &amp; PL'!I27</f>
        <v>GASUNG PACK</v>
      </c>
      <c r="H23" s="112" t="str">
        <f>'CI &amp; PL'!J27</f>
        <v>KOREA</v>
      </c>
      <c r="I23" s="112">
        <f>'CI &amp; PL'!K27</f>
        <v>1</v>
      </c>
      <c r="J23" s="113">
        <f>'CI &amp; PL'!L27</f>
        <v>3256</v>
      </c>
      <c r="K23" s="113">
        <f>I23*J23</f>
        <v>3256</v>
      </c>
    </row>
    <row r="24" spans="1:12" s="118" customFormat="1" ht="18.75" customHeight="1">
      <c r="A24" s="96"/>
      <c r="B24" s="190" t="s">
        <v>121</v>
      </c>
      <c r="C24" s="190"/>
      <c r="D24" s="190"/>
      <c r="E24" s="190"/>
      <c r="F24" s="190"/>
      <c r="G24" s="190"/>
      <c r="H24" s="190"/>
      <c r="I24" s="114">
        <f>SUM(I23:I23)</f>
        <v>1</v>
      </c>
      <c r="J24" s="115"/>
      <c r="K24" s="116">
        <f>SUM(K23:K23)</f>
        <v>3256</v>
      </c>
      <c r="L24" s="117" t="b">
        <f>IF(K24=C20,TRUE)</f>
        <v>1</v>
      </c>
    </row>
    <row r="25" spans="1:12" s="87" customFormat="1" ht="18.75" customHeight="1">
      <c r="A25" s="85"/>
      <c r="B25" s="119"/>
      <c r="C25" s="120"/>
      <c r="D25" s="120"/>
      <c r="E25" s="120"/>
      <c r="F25" s="121"/>
      <c r="G25" s="121"/>
      <c r="H25" s="122"/>
      <c r="I25" s="123"/>
    </row>
    <row r="26" spans="1:12" s="87" customFormat="1" ht="18.75" customHeight="1">
      <c r="A26" s="96" t="s">
        <v>122</v>
      </c>
      <c r="B26" s="124"/>
      <c r="C26" s="125"/>
      <c r="D26" s="125"/>
      <c r="E26" s="126"/>
      <c r="F26" s="125"/>
      <c r="G26" s="127"/>
      <c r="H26" s="127"/>
      <c r="I26" s="127"/>
    </row>
    <row r="27" spans="1:12" s="87" customFormat="1" ht="18.75" customHeight="1">
      <c r="A27" s="96"/>
      <c r="B27" s="107" t="s">
        <v>123</v>
      </c>
      <c r="C27" s="125"/>
      <c r="D27" s="125"/>
      <c r="E27" s="126"/>
      <c r="F27" s="125"/>
      <c r="G27" s="127"/>
      <c r="H27" s="127"/>
      <c r="I27" s="127"/>
    </row>
    <row r="28" spans="1:12" s="87" customFormat="1" ht="18.75" customHeight="1">
      <c r="A28" s="96" t="s">
        <v>124</v>
      </c>
      <c r="B28" s="128"/>
      <c r="C28" s="89"/>
      <c r="D28" s="89"/>
      <c r="E28" s="89"/>
      <c r="F28" s="89"/>
      <c r="G28" s="127"/>
      <c r="H28" s="127"/>
      <c r="I28" s="125"/>
    </row>
    <row r="29" spans="1:12" s="87" customFormat="1" ht="18.75" customHeight="1">
      <c r="A29" s="96"/>
      <c r="B29" s="89" t="s">
        <v>125</v>
      </c>
      <c r="C29" s="89"/>
      <c r="D29" s="89"/>
      <c r="E29" s="89"/>
      <c r="F29" s="89"/>
      <c r="G29" s="127"/>
      <c r="H29" s="127"/>
      <c r="I29" s="125"/>
    </row>
    <row r="30" spans="1:12" s="87" customFormat="1" ht="18.75" customHeight="1">
      <c r="A30" s="96" t="s">
        <v>126</v>
      </c>
      <c r="B30" s="128"/>
      <c r="C30" s="127"/>
      <c r="D30" s="127"/>
      <c r="E30" s="127"/>
      <c r="F30" s="129"/>
      <c r="G30" s="127"/>
      <c r="H30" s="127"/>
      <c r="I30" s="129"/>
    </row>
    <row r="31" spans="1:12" s="87" customFormat="1" ht="18.75" customHeight="1">
      <c r="A31" s="96"/>
      <c r="B31" s="99" t="s">
        <v>127</v>
      </c>
      <c r="C31" s="130"/>
      <c r="D31" s="130"/>
      <c r="E31" s="89"/>
      <c r="F31" s="89"/>
      <c r="G31" s="127"/>
      <c r="H31" s="127"/>
      <c r="I31" s="131"/>
    </row>
    <row r="32" spans="1:12" s="87" customFormat="1" ht="18.75" customHeight="1">
      <c r="A32" s="96" t="s">
        <v>128</v>
      </c>
      <c r="B32" s="128"/>
      <c r="C32" s="124"/>
      <c r="D32" s="124"/>
      <c r="E32" s="132"/>
      <c r="F32" s="132"/>
      <c r="G32" s="132"/>
      <c r="H32" s="133"/>
      <c r="I32" s="133"/>
    </row>
    <row r="33" spans="1:11" s="87" customFormat="1" ht="18.75" customHeight="1">
      <c r="A33" s="96"/>
      <c r="B33" s="89" t="s">
        <v>129</v>
      </c>
      <c r="C33" s="89"/>
      <c r="D33" s="89"/>
      <c r="E33" s="89"/>
      <c r="F33" s="89"/>
      <c r="G33" s="89"/>
      <c r="H33" s="89"/>
      <c r="I33" s="89"/>
    </row>
    <row r="34" spans="1:11" s="87" customFormat="1" ht="18.75" customHeight="1">
      <c r="A34" s="96"/>
      <c r="B34" s="89" t="s">
        <v>130</v>
      </c>
      <c r="C34" s="130"/>
      <c r="D34" s="130"/>
      <c r="E34" s="89"/>
      <c r="F34" s="89"/>
      <c r="G34" s="89"/>
      <c r="H34" s="131"/>
      <c r="I34" s="131"/>
    </row>
    <row r="35" spans="1:11" s="87" customFormat="1" ht="18.75" customHeight="1">
      <c r="A35" s="96" t="s">
        <v>131</v>
      </c>
      <c r="B35" s="128"/>
      <c r="C35" s="124"/>
      <c r="D35" s="124"/>
      <c r="E35" s="128"/>
      <c r="F35" s="128"/>
      <c r="G35" s="128"/>
      <c r="H35" s="134"/>
      <c r="I35" s="134"/>
    </row>
    <row r="36" spans="1:11" s="87" customFormat="1" ht="18.75" customHeight="1">
      <c r="A36" s="96"/>
      <c r="B36" s="135" t="s">
        <v>132</v>
      </c>
      <c r="C36" s="125"/>
      <c r="D36" s="125"/>
      <c r="E36" s="89"/>
      <c r="F36" s="89"/>
      <c r="G36" s="89"/>
      <c r="H36" s="131"/>
      <c r="I36" s="131"/>
    </row>
    <row r="37" spans="1:11" s="87" customFormat="1" ht="18.75" customHeight="1">
      <c r="A37" s="96"/>
      <c r="B37" s="89" t="s">
        <v>133</v>
      </c>
      <c r="C37" s="125"/>
      <c r="D37" s="125"/>
      <c r="E37" s="89"/>
      <c r="F37" s="89"/>
      <c r="G37" s="89"/>
      <c r="H37" s="131"/>
      <c r="I37" s="131"/>
    </row>
    <row r="38" spans="1:11" s="87" customFormat="1" ht="18.75" customHeight="1">
      <c r="A38" s="96"/>
      <c r="B38" s="135" t="s">
        <v>134</v>
      </c>
      <c r="C38" s="125"/>
      <c r="D38" s="125"/>
      <c r="E38" s="89"/>
      <c r="F38" s="89"/>
      <c r="G38" s="89"/>
      <c r="H38" s="131"/>
      <c r="I38" s="131"/>
    </row>
    <row r="39" spans="1:11" s="87" customFormat="1" ht="18.75" customHeight="1">
      <c r="A39" s="96"/>
      <c r="B39" s="135" t="s">
        <v>135</v>
      </c>
      <c r="C39" s="125"/>
      <c r="D39" s="125"/>
      <c r="E39" s="89"/>
      <c r="F39" s="89"/>
      <c r="G39" s="89"/>
      <c r="H39" s="131"/>
      <c r="I39" s="131"/>
    </row>
    <row r="40" spans="1:11" s="87" customFormat="1" ht="18.75" customHeight="1">
      <c r="A40" s="96"/>
      <c r="B40" s="89"/>
      <c r="C40" s="125"/>
      <c r="D40" s="125"/>
      <c r="E40" s="89"/>
      <c r="F40" s="89"/>
      <c r="G40" s="89"/>
      <c r="H40" s="131"/>
      <c r="I40" s="131"/>
    </row>
    <row r="41" spans="1:11" s="87" customFormat="1" ht="18.75" customHeight="1">
      <c r="A41" s="191" t="s">
        <v>136</v>
      </c>
      <c r="B41" s="191"/>
      <c r="C41" s="191"/>
      <c r="D41" s="191"/>
      <c r="E41" s="191"/>
      <c r="F41" s="191"/>
      <c r="G41" s="191" t="s">
        <v>137</v>
      </c>
      <c r="H41" s="191"/>
      <c r="I41" s="191"/>
      <c r="J41" s="191"/>
      <c r="K41" s="191"/>
    </row>
  </sheetData>
  <mergeCells count="9">
    <mergeCell ref="B24:H24"/>
    <mergeCell ref="A41:F41"/>
    <mergeCell ref="G41:K41"/>
    <mergeCell ref="B2:K2"/>
    <mergeCell ref="B3:I3"/>
    <mergeCell ref="J4:K4"/>
    <mergeCell ref="F5:G5"/>
    <mergeCell ref="J5:K5"/>
    <mergeCell ref="C20:D20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CI &amp; PL</vt:lpstr>
      <vt:lpstr>Packing Details</vt:lpstr>
      <vt:lpstr>MC List for Amovina</vt:lpstr>
      <vt:lpstr>Investment Contract</vt:lpstr>
      <vt:lpstr>'CI &amp; PL'!Print_Area</vt:lpstr>
      <vt:lpstr>'Investment Contract'!Print_Area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이유경(Luna Lee)</dc:creator>
  <cp:lastModifiedBy>김우성</cp:lastModifiedBy>
  <dcterms:created xsi:type="dcterms:W3CDTF">2018-05-24T06:10:29Z</dcterms:created>
  <dcterms:modified xsi:type="dcterms:W3CDTF">2019-11-14T08:59:00Z</dcterms:modified>
</cp:coreProperties>
</file>